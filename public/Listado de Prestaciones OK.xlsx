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dor" sheetId="1" r:id="rId4"/>
    <sheet state="visible" name="Federacion-PAMI" sheetId="2" r:id="rId5"/>
    <sheet state="visible" name="Delgado" sheetId="3" r:id="rId6"/>
    <sheet state="visible" name="Dra. Selva " sheetId="4" r:id="rId7"/>
    <sheet state="visible" name="Convenios Particulares" sheetId="5" r:id="rId8"/>
    <sheet state="visible" name="Lab Clinico Noelia Dutto" sheetId="6" r:id="rId9"/>
    <sheet state="visible" name="Panel BioM. Int.Panel " sheetId="7" r:id="rId10"/>
    <sheet state="visible" name="O. SOCIALES " sheetId="8" r:id="rId11"/>
  </sheets>
  <definedNames>
    <definedName localSheetId="2" name="Digestibilidad">#REF!</definedName>
    <definedName name="Digestibilidad">#REF!</definedName>
  </definedNames>
  <calcPr/>
  <extLst>
    <ext uri="GoogleSheetsCustomDataVersion2">
      <go:sheetsCustomData xmlns:go="http://customooxmlschemas.google.com/" r:id="rId12" roundtripDataChecksum="4FTNgpikN1jRS9cYckgNMCeVGYQRvO+CD8yQT6xhvS0="/>
    </ext>
  </extLst>
</workbook>
</file>

<file path=xl/sharedStrings.xml><?xml version="1.0" encoding="utf-8"?>
<sst xmlns="http://schemas.openxmlformats.org/spreadsheetml/2006/main" count="1577" uniqueCount="549">
  <si>
    <t>Cotizador</t>
  </si>
  <si>
    <t>ACTUALIZADOS ✅</t>
  </si>
  <si>
    <t xml:space="preserve">Prestaciones sin valor COBICO, o cuyo valor COBICO es inferior al costo de derivación total </t>
  </si>
  <si>
    <t xml:space="preserve">Prestaciones </t>
  </si>
  <si>
    <t>Derivación</t>
  </si>
  <si>
    <t>Derivante</t>
  </si>
  <si>
    <t>Envío</t>
  </si>
  <si>
    <t>Viaticos</t>
  </si>
  <si>
    <t xml:space="preserve">Costo Interno </t>
  </si>
  <si>
    <t>COBICO</t>
  </si>
  <si>
    <t>Importe</t>
  </si>
  <si>
    <t xml:space="preserve">ALEX 2 </t>
  </si>
  <si>
    <t xml:space="preserve">CIBIC </t>
  </si>
  <si>
    <t>TPMT TIOPURINA METILTRANSFERASA</t>
  </si>
  <si>
    <t>MANLAB</t>
  </si>
  <si>
    <t>DAO</t>
  </si>
  <si>
    <t xml:space="preserve">MANLAB </t>
  </si>
  <si>
    <t>POLIMORFIMOS DE DAO</t>
  </si>
  <si>
    <t>CIBIC</t>
  </si>
  <si>
    <t>TRIPTASA</t>
  </si>
  <si>
    <t>TRIPTASA MAR DEL PLATA</t>
  </si>
  <si>
    <t>LITWIN</t>
  </si>
  <si>
    <t>PLGF</t>
  </si>
  <si>
    <t>GORNITZ</t>
  </si>
  <si>
    <t>Panel inmunologico miositis</t>
  </si>
  <si>
    <t>Levetirazetam</t>
  </si>
  <si>
    <t>LERDA</t>
  </si>
  <si>
    <t>PARVOVIRUS B19 (PCR)</t>
  </si>
  <si>
    <t>PEPTIDO INTESTINAL VASOACTIVO (VIP)</t>
  </si>
  <si>
    <t>MICROBIOMA INTESTINAL</t>
  </si>
  <si>
    <t>VEGF</t>
  </si>
  <si>
    <t>REYNA</t>
  </si>
  <si>
    <t>FPM</t>
  </si>
  <si>
    <t>DER FPM</t>
  </si>
  <si>
    <t>COPAGO APROSS</t>
  </si>
  <si>
    <t xml:space="preserve">FENOTIPO </t>
  </si>
  <si>
    <t>CARIOTIPO M. OSEA</t>
  </si>
  <si>
    <t xml:space="preserve">CARIOTIPO SANGRE </t>
  </si>
  <si>
    <t xml:space="preserve">FISH </t>
  </si>
  <si>
    <t xml:space="preserve">FUNDACION </t>
  </si>
  <si>
    <t>GASES EN SANGRE</t>
  </si>
  <si>
    <t xml:space="preserve">ALLENDE </t>
  </si>
  <si>
    <t>NEFA</t>
  </si>
  <si>
    <t xml:space="preserve">inhibina b </t>
  </si>
  <si>
    <t>BCRA 29018</t>
  </si>
  <si>
    <t>CANDIDAS IGM</t>
  </si>
  <si>
    <t>CALPROTECTINA</t>
  </si>
  <si>
    <t>ACIDOS</t>
  </si>
  <si>
    <t>ANTIFUNGICO</t>
  </si>
  <si>
    <t xml:space="preserve">GORNITZ </t>
  </si>
  <si>
    <t xml:space="preserve">penfigoides </t>
  </si>
  <si>
    <t xml:space="preserve">IGLON 5 </t>
  </si>
  <si>
    <t>PANEL MIELOIDE</t>
  </si>
  <si>
    <t>EXOMA</t>
  </si>
  <si>
    <t xml:space="preserve">GENOMA SWISS </t>
  </si>
  <si>
    <t xml:space="preserve">GENOMA </t>
  </si>
  <si>
    <t xml:space="preserve">anticuerpo encefalitis panel </t>
  </si>
  <si>
    <t>gornitz</t>
  </si>
  <si>
    <t xml:space="preserve">MICROBIOTA </t>
  </si>
  <si>
    <t>GAD</t>
  </si>
  <si>
    <t xml:space="preserve">IA 2A </t>
  </si>
  <si>
    <t>ZN T8A</t>
  </si>
  <si>
    <t>IAA</t>
  </si>
  <si>
    <t>PANLE HEPATICO</t>
  </si>
  <si>
    <t xml:space="preserve">gornitz </t>
  </si>
  <si>
    <t>MTHFR</t>
  </si>
  <si>
    <t>manLAB</t>
  </si>
  <si>
    <t>JAK</t>
  </si>
  <si>
    <t>FUNDACION</t>
  </si>
  <si>
    <t xml:space="preserve">EXOMA COMPLETO </t>
  </si>
  <si>
    <t xml:space="preserve">FACTOR PLACENTARIO </t>
  </si>
  <si>
    <t xml:space="preserve">ACIDO METALOMINICO </t>
  </si>
  <si>
    <t>MUTACION GEN GILBERT</t>
  </si>
  <si>
    <t xml:space="preserve">FIS 9.22 </t>
  </si>
  <si>
    <t>cuali</t>
  </si>
  <si>
    <t>ACIDOS GRASOS</t>
  </si>
  <si>
    <t>JAK V617F</t>
  </si>
  <si>
    <t xml:space="preserve">PANEL CANCER HEREDITARIO MAMA - OVARIO - basico </t>
  </si>
  <si>
    <t xml:space="preserve">PANEL CANCER HEREDITARIO MAMA - OVARIO - ampliado </t>
  </si>
  <si>
    <t xml:space="preserve">HLA CLASE I LOCUS A </t>
  </si>
  <si>
    <t>HLA CLASE I LOCUS B</t>
  </si>
  <si>
    <t xml:space="preserve">HLA CLASE II LOCUS DR </t>
  </si>
  <si>
    <t xml:space="preserve">CROSS MATCH - PANEL FASE SOLIDA </t>
  </si>
  <si>
    <t xml:space="preserve">TRIPTASA SERICA </t>
  </si>
  <si>
    <t>ISOELECTROFUCUS DE TRANSFERRINA</t>
  </si>
  <si>
    <t xml:space="preserve">DOSAJE DE LEVETIRACETAM </t>
  </si>
  <si>
    <t xml:space="preserve">LERDA </t>
  </si>
  <si>
    <t>Inmunoglobulina E</t>
  </si>
  <si>
    <t xml:space="preserve">Igg coronavirus </t>
  </si>
  <si>
    <t xml:space="preserve">Sustancia Amieloide </t>
  </si>
  <si>
    <t>AMINOACIDOS CUANTITATIVOS</t>
  </si>
  <si>
    <t>COLAGENOS</t>
  </si>
  <si>
    <t>PCR PARA NEISSERIA GONORRHOEAE</t>
  </si>
  <si>
    <t>PCR PARA MYCOPLASMA GENITALIUM</t>
  </si>
  <si>
    <t>TB-IGRA (Ensayo de Liberación de Interferón Gamma)</t>
  </si>
  <si>
    <t>ACIDO METILMALONICO</t>
  </si>
  <si>
    <t xml:space="preserve">manlab </t>
  </si>
  <si>
    <t>MICROARRAY 750K</t>
  </si>
  <si>
    <t xml:space="preserve">fundacion </t>
  </si>
  <si>
    <t>CALRETICULINA</t>
  </si>
  <si>
    <t>manlab</t>
  </si>
  <si>
    <t xml:space="preserve"> </t>
  </si>
  <si>
    <t>PRESUPUESTO</t>
  </si>
  <si>
    <t>FACTURA A</t>
  </si>
  <si>
    <t>COBRADO</t>
  </si>
  <si>
    <t>A ENVIAR</t>
  </si>
  <si>
    <t xml:space="preserve">FEDERACION </t>
  </si>
  <si>
    <t>VILLAGRA BEATRIZ</t>
  </si>
  <si>
    <t>Costo</t>
  </si>
  <si>
    <t>UB</t>
  </si>
  <si>
    <t>Pami</t>
  </si>
  <si>
    <t>Facturado</t>
  </si>
  <si>
    <t>NBU</t>
  </si>
  <si>
    <t>Inmunofijación Sérica</t>
  </si>
  <si>
    <t>Descuento</t>
  </si>
  <si>
    <t>Inmunofijación Urinaria</t>
  </si>
  <si>
    <t>CARBONE PICARDO JULIO</t>
  </si>
  <si>
    <t>Cadena liviana libre</t>
  </si>
  <si>
    <t>MALDONADO ALEJANDRO CESAR</t>
  </si>
  <si>
    <t>TCR</t>
  </si>
  <si>
    <t xml:space="preserve">GERMANETTO NOEMI CATALINA </t>
  </si>
  <si>
    <t>PENDIENTE DE COBRO</t>
  </si>
  <si>
    <t>Cadena liviana Kappa y Lambda sérico</t>
  </si>
  <si>
    <t>40</t>
  </si>
  <si>
    <t xml:space="preserve">Inmunofijación sérica </t>
  </si>
  <si>
    <t>Inmunofijación urinaria</t>
  </si>
  <si>
    <t>Microglobulina Beta2</t>
  </si>
  <si>
    <t>Creatinina</t>
  </si>
  <si>
    <t xml:space="preserve">Eritrocedimentación </t>
  </si>
  <si>
    <t>Hemograma</t>
  </si>
  <si>
    <t>Inmunoglobulina A</t>
  </si>
  <si>
    <t>Inmunoglobulina G</t>
  </si>
  <si>
    <t xml:space="preserve">Inmunoglobulina M </t>
  </si>
  <si>
    <t>Recuento de plaquetas</t>
  </si>
  <si>
    <t>Proteinograma</t>
  </si>
  <si>
    <t>Uremia</t>
  </si>
  <si>
    <t>Glucemia</t>
  </si>
  <si>
    <t>GOT</t>
  </si>
  <si>
    <t>GPT</t>
  </si>
  <si>
    <t>FAL</t>
  </si>
  <si>
    <t>Bilirrubina</t>
  </si>
  <si>
    <t>Ionograma</t>
  </si>
  <si>
    <t>TSH</t>
  </si>
  <si>
    <t>ORTIZ EDITH NORMA</t>
  </si>
  <si>
    <t>Envio</t>
  </si>
  <si>
    <t xml:space="preserve">Hemograma </t>
  </si>
  <si>
    <t xml:space="preserve">Cobre serico </t>
  </si>
  <si>
    <t>Colesterol total</t>
  </si>
  <si>
    <t>Eritrosedimentación</t>
  </si>
  <si>
    <t>BILI</t>
  </si>
  <si>
    <t>Zinc</t>
  </si>
  <si>
    <t>Colesterol LDL</t>
  </si>
  <si>
    <t>Colesterol HDL</t>
  </si>
  <si>
    <t>Vitamina D</t>
  </si>
  <si>
    <t>Selenio</t>
  </si>
  <si>
    <t>Vitamina B1</t>
  </si>
  <si>
    <t>Vitamina B6</t>
  </si>
  <si>
    <t>Vitamina C</t>
  </si>
  <si>
    <t>T3</t>
  </si>
  <si>
    <t xml:space="preserve">RAHAL MIRTA BEATRIZ </t>
  </si>
  <si>
    <t>Inmunocomplejos circulantes (CIC)</t>
  </si>
  <si>
    <t xml:space="preserve">GIGENA LUCIO </t>
  </si>
  <si>
    <t xml:space="preserve">Helicobacter Pylori, aire espirado </t>
  </si>
  <si>
    <t>MARIN ISABEL DEL VALLE</t>
  </si>
  <si>
    <t xml:space="preserve">Elastasa pancreatica </t>
  </si>
  <si>
    <t>PAEZ, NORBERTO</t>
  </si>
  <si>
    <t>NO APLICA</t>
  </si>
  <si>
    <t xml:space="preserve">Fibrinogeno </t>
  </si>
  <si>
    <t>Antitrombina III funcional</t>
  </si>
  <si>
    <t>Beta 2 Glicoproteina IgG</t>
  </si>
  <si>
    <t>Beta 2 Glicoproteina IgA</t>
  </si>
  <si>
    <t>Cardiolipinas IgG</t>
  </si>
  <si>
    <t>Cardiolipinas IgM</t>
  </si>
  <si>
    <t>Factor V</t>
  </si>
  <si>
    <t>Homocisteina</t>
  </si>
  <si>
    <t>Proteina C funcional</t>
  </si>
  <si>
    <t xml:space="preserve">Proteina S funcional </t>
  </si>
  <si>
    <t>Protrombina 20.210</t>
  </si>
  <si>
    <t>ALEGRE ANA MARIA</t>
  </si>
  <si>
    <t>OCTUBRE</t>
  </si>
  <si>
    <t>C1 inhibidor Q</t>
  </si>
  <si>
    <t>C3</t>
  </si>
  <si>
    <t>C4</t>
  </si>
  <si>
    <t>ZOGBE ANTONIO JESÚS</t>
  </si>
  <si>
    <t>Calcemia total</t>
  </si>
  <si>
    <t>Creatinina en sangre</t>
  </si>
  <si>
    <t>Orina completa</t>
  </si>
  <si>
    <t>Trigliceridos</t>
  </si>
  <si>
    <t xml:space="preserve">Uremia </t>
  </si>
  <si>
    <t>Antigeno prostatico especifico total</t>
  </si>
  <si>
    <t>Catecolaminas</t>
  </si>
  <si>
    <t>Cortisol plasmatico</t>
  </si>
  <si>
    <t>Cortisol libre urinario</t>
  </si>
  <si>
    <t>Normetanefrina urinaria</t>
  </si>
  <si>
    <t>Hormona adrenocorticotrofa</t>
  </si>
  <si>
    <t>Ionograma plasmatico</t>
  </si>
  <si>
    <t xml:space="preserve">GIGENA, LUCIO </t>
  </si>
  <si>
    <t xml:space="preserve">NOVIEMBRE </t>
  </si>
  <si>
    <t xml:space="preserve">MASAROTTI JOSE LEON </t>
  </si>
  <si>
    <t>Cobertura</t>
  </si>
  <si>
    <t>no fue</t>
  </si>
  <si>
    <t>Anti DNA</t>
  </si>
  <si>
    <t>Anticuerpo antinuclear</t>
  </si>
  <si>
    <t>Complemento valoracion C1Q C15</t>
  </si>
  <si>
    <t>Proteina C reactiva</t>
  </si>
  <si>
    <t xml:space="preserve">Proteinograma </t>
  </si>
  <si>
    <t>LA/SSB</t>
  </si>
  <si>
    <t>Microglobulina Beta 2</t>
  </si>
  <si>
    <t>RO</t>
  </si>
  <si>
    <t>FACTURAR A FIN DE NOVIEMBRE</t>
  </si>
  <si>
    <t>AGUIRRE ANTONIA</t>
  </si>
  <si>
    <t>FAL GOMORI</t>
  </si>
  <si>
    <t>MONDINO MARTA FELICITAS</t>
  </si>
  <si>
    <t>Inmunofenotipo</t>
  </si>
  <si>
    <t>/</t>
  </si>
  <si>
    <t xml:space="preserve">Medulograma </t>
  </si>
  <si>
    <t>Paciente</t>
  </si>
  <si>
    <t>Federación</t>
  </si>
  <si>
    <t>Ingreso Total</t>
  </si>
  <si>
    <t>Margen</t>
  </si>
  <si>
    <t xml:space="preserve">BLENGINO RUFINA ISABEL </t>
  </si>
  <si>
    <t xml:space="preserve">Fenotipo- Medula osea </t>
  </si>
  <si>
    <t>Cariotipo</t>
  </si>
  <si>
    <t>ok</t>
  </si>
  <si>
    <t xml:space="preserve">PERALTA JUANA ANGELA </t>
  </si>
  <si>
    <t>PEDERNERA JOSÉ LUIS</t>
  </si>
  <si>
    <t xml:space="preserve">NBU </t>
  </si>
  <si>
    <t>SICCHA BEJARANO RICARDO</t>
  </si>
  <si>
    <t>Facturado en Enero Pendiente</t>
  </si>
  <si>
    <t xml:space="preserve">CROGNALE TERESA </t>
  </si>
  <si>
    <t>COSTO</t>
  </si>
  <si>
    <t>ENVIO</t>
  </si>
  <si>
    <t>PAMI</t>
  </si>
  <si>
    <t>LEGA</t>
  </si>
  <si>
    <t xml:space="preserve">Inmunfenotipo - subpoblacion lifoncitario </t>
  </si>
  <si>
    <t>ROLDAN JORGE ALCIDES</t>
  </si>
  <si>
    <t xml:space="preserve">GARRO LIDIA BEATRIZ </t>
  </si>
  <si>
    <t xml:space="preserve">Inmunoelectroforesis en suero </t>
  </si>
  <si>
    <t>cibic</t>
  </si>
  <si>
    <t xml:space="preserve">Proteinograma por electroforesis </t>
  </si>
  <si>
    <t>cibc</t>
  </si>
  <si>
    <t>MARZO</t>
  </si>
  <si>
    <t>SPITALERI AIDA ESTER</t>
  </si>
  <si>
    <t xml:space="preserve">TEST DE HELICOBACTER PYLORI </t>
  </si>
  <si>
    <t>ABONADO</t>
  </si>
  <si>
    <t>ABRIL - TEST HELICOBACTER PYLORI</t>
  </si>
  <si>
    <t>CASTRO ISMAEL</t>
  </si>
  <si>
    <t>BRACAMONTE JOSE</t>
  </si>
  <si>
    <t>OLARIAGA JUANA</t>
  </si>
  <si>
    <t>VILLARREAL SILVIA</t>
  </si>
  <si>
    <t xml:space="preserve">GARCIA HILDA </t>
  </si>
  <si>
    <t>MAYO</t>
  </si>
  <si>
    <t>Carbone Ricardo Julio</t>
  </si>
  <si>
    <t>COSTO MANLAB</t>
  </si>
  <si>
    <t>Cadena Liviana Libre K</t>
  </si>
  <si>
    <t>Cadena Liviana Libre L</t>
  </si>
  <si>
    <t>GOMEZ SUSANA BEATRIZ</t>
  </si>
  <si>
    <t xml:space="preserve">COSTO </t>
  </si>
  <si>
    <t xml:space="preserve">Test h. pylori </t>
  </si>
  <si>
    <t xml:space="preserve">SALINA ESTELA </t>
  </si>
  <si>
    <t>LUDUEÑA MARTA OFELIA</t>
  </si>
  <si>
    <t>JUNIO</t>
  </si>
  <si>
    <t xml:space="preserve">MOYA EDITH </t>
  </si>
  <si>
    <t>CORREA ALICIA</t>
  </si>
  <si>
    <t>GASTON ALEJANDRA</t>
  </si>
  <si>
    <t>GARRO LIDIA</t>
  </si>
  <si>
    <t>Inmunofijacion serica</t>
  </si>
  <si>
    <t>Inmunofijacion urinaria</t>
  </si>
  <si>
    <t xml:space="preserve">Fenotipificacion </t>
  </si>
  <si>
    <t>JULIO</t>
  </si>
  <si>
    <t>TABARES HECTOR</t>
  </si>
  <si>
    <t>Cadena liviana Kappa y Lambda serica</t>
  </si>
  <si>
    <t xml:space="preserve">ARIAS ALFREDO </t>
  </si>
  <si>
    <t xml:space="preserve">Traslocacion </t>
  </si>
  <si>
    <t>GALVAN HECTOR</t>
  </si>
  <si>
    <t>ORTELLADO GLADIS</t>
  </si>
  <si>
    <t>Inhibidor de intergrasa HIV</t>
  </si>
  <si>
    <t xml:space="preserve">MAIONCHI ELIZABET </t>
  </si>
  <si>
    <t>Cadena liviana kappa y lambda serica</t>
  </si>
  <si>
    <t>Cadena liviana kappa y lambda urinaria</t>
  </si>
  <si>
    <t xml:space="preserve">AGOSTO </t>
  </si>
  <si>
    <t>RIBOLDI ANA MARIA</t>
  </si>
  <si>
    <t xml:space="preserve">GANGLIOSIDOS PANEL </t>
  </si>
  <si>
    <t xml:space="preserve">BARTOLIA MARCELO </t>
  </si>
  <si>
    <t xml:space="preserve">SINDROMES LINFOPROLIFERATIVOS </t>
  </si>
  <si>
    <t>ROMERO JOSE IGNACIO</t>
  </si>
  <si>
    <t xml:space="preserve">acetilcolina </t>
  </si>
  <si>
    <t xml:space="preserve">gudiño carlos enrique </t>
  </si>
  <si>
    <t xml:space="preserve">braier cecilia </t>
  </si>
  <si>
    <t xml:space="preserve">elastasa </t>
  </si>
  <si>
    <t xml:space="preserve">diaz de sa antonio </t>
  </si>
  <si>
    <t xml:space="preserve">SEPTIEMBRE </t>
  </si>
  <si>
    <t xml:space="preserve">GUZMAN LILIANA </t>
  </si>
  <si>
    <t xml:space="preserve">OLMOS OSCAR OMAR </t>
  </si>
  <si>
    <t xml:space="preserve">JACK 2 </t>
  </si>
  <si>
    <t xml:space="preserve">GOMEZ JUAN DOMINGO </t>
  </si>
  <si>
    <t>FENOTIPO</t>
  </si>
  <si>
    <t>MUTACION V617F JAK</t>
  </si>
  <si>
    <t>CARIOTIPO</t>
  </si>
  <si>
    <t xml:space="preserve">A FISH </t>
  </si>
  <si>
    <t>MUTACION EN GEN TP53</t>
  </si>
  <si>
    <t xml:space="preserve">PANEL MIELOIDE </t>
  </si>
  <si>
    <t>GUZMAN LILIANA DEL CARMEN</t>
  </si>
  <si>
    <t xml:space="preserve">ENFERMEDAD MINIMA RESIDUAL </t>
  </si>
  <si>
    <t xml:space="preserve">GUILLEN ESTELA </t>
  </si>
  <si>
    <t xml:space="preserve">CADENA LIVIANA KAPPA Y LAMDA </t>
  </si>
  <si>
    <t>GOMEZ JUAN JOSE</t>
  </si>
  <si>
    <t>INMUNOFIJACION SERICA</t>
  </si>
  <si>
    <t xml:space="preserve">INMUNOFIJACION URINARIA </t>
  </si>
  <si>
    <t xml:space="preserve">AGUIRRE RUBEN </t>
  </si>
  <si>
    <t xml:space="preserve">FENOTIPIFICACION </t>
  </si>
  <si>
    <t xml:space="preserve">MORALES RODRIGO JAVIER </t>
  </si>
  <si>
    <t xml:space="preserve">ELASTASA PANCREATICA </t>
  </si>
  <si>
    <t>MORONI NORMA</t>
  </si>
  <si>
    <t xml:space="preserve">HELICOBACTER PYLORI </t>
  </si>
  <si>
    <t xml:space="preserve">CUEVA LAURINDA </t>
  </si>
  <si>
    <t xml:space="preserve">GOMEZ JUAN JOSE </t>
  </si>
  <si>
    <t xml:space="preserve">ENVIO </t>
  </si>
  <si>
    <t xml:space="preserve">RECEPTOR SOLUBLE DE TRANSFERRINA </t>
  </si>
  <si>
    <t xml:space="preserve">TORANZO MARIA CRISTINA </t>
  </si>
  <si>
    <t xml:space="preserve">CARIOTIPO - M. OSEA </t>
  </si>
  <si>
    <t>CROMOSOMA ALTERACION P53</t>
  </si>
  <si>
    <t>CROMOSOMA ALTERACION 5Q</t>
  </si>
  <si>
    <t>CROMOSOMA ALTERACION 7Q</t>
  </si>
  <si>
    <t>SINDROME LINFOPROLIFERATIVOS</t>
  </si>
  <si>
    <t xml:space="preserve">SINDROME MIELOPROLIFERATIVOS </t>
  </si>
  <si>
    <t>TASLOCACION 9.22</t>
  </si>
  <si>
    <t>BRITOS PABLO</t>
  </si>
  <si>
    <t xml:space="preserve">MONITOREO DE FARMACOS - LEVETIRAZETAM </t>
  </si>
  <si>
    <t>QUAGLIARO ALICIA</t>
  </si>
  <si>
    <t xml:space="preserve">GLOBULINA TRANSPORTADORA DE TIROXINA </t>
  </si>
  <si>
    <t>ALTAMIRANO MARIA ALEJANDRA</t>
  </si>
  <si>
    <t xml:space="preserve">CROMOGRANINA </t>
  </si>
  <si>
    <t>ALRMENDARIZ LILIANA</t>
  </si>
  <si>
    <t xml:space="preserve">INMUNOFIJACION ORINA </t>
  </si>
  <si>
    <t xml:space="preserve">CADENA LIVIANA KAPPA LIBRE  S </t>
  </si>
  <si>
    <t xml:space="preserve">JAZAN GRACIELA </t>
  </si>
  <si>
    <t xml:space="preserve">TEJEDA NILDA ADRIANA </t>
  </si>
  <si>
    <t>PROTEINA  S LIBRE</t>
  </si>
  <si>
    <t xml:space="preserve">JUAN PEREZ </t>
  </si>
  <si>
    <t xml:space="preserve">psa </t>
  </si>
  <si>
    <t xml:space="preserve">PORRAS JUAN CARLOS </t>
  </si>
  <si>
    <t xml:space="preserve">CROMOGRANINA A </t>
  </si>
  <si>
    <t xml:space="preserve">VUCADINOVICH NATALIA </t>
  </si>
  <si>
    <t>TRASLOCACION P210</t>
  </si>
  <si>
    <t xml:space="preserve">GUZMAN LILIANA DEL CARMEN </t>
  </si>
  <si>
    <t>TRANSLOCACION T 315</t>
  </si>
  <si>
    <t xml:space="preserve">DITADO JORGE </t>
  </si>
  <si>
    <t xml:space="preserve">CADENA LIVIANA KAPPA Y LAMBDA SERICA </t>
  </si>
  <si>
    <t xml:space="preserve">CROMOSOMA ALTERACION TRISOMIA 12 - FISH </t>
  </si>
  <si>
    <t xml:space="preserve">AGUERO JOSE LUIS </t>
  </si>
  <si>
    <t xml:space="preserve">CADENA LIVIANA KAPPA Y LAMBDA </t>
  </si>
  <si>
    <t xml:space="preserve">SARAVIA PATRICIA LILIANA </t>
  </si>
  <si>
    <t xml:space="preserve">ANTI TRIPSINA 1 </t>
  </si>
  <si>
    <t xml:space="preserve">MERCADO LIDIA ESTHER </t>
  </si>
  <si>
    <t xml:space="preserve">CADENA LIVIANA KAPPA Y LAMBDA  ORINA </t>
  </si>
  <si>
    <t xml:space="preserve">CADENALIVIANA KAPPA LIBRE </t>
  </si>
  <si>
    <t xml:space="preserve">GUZMAN HUMBERTO SILVIO </t>
  </si>
  <si>
    <t>JAK 2 SINDROM MIELOPROL</t>
  </si>
  <si>
    <t xml:space="preserve">BUSTAMANTE SUSANA ALICIA </t>
  </si>
  <si>
    <t>LUQUIN EDUARDO</t>
  </si>
  <si>
    <t xml:space="preserve">DICIEMBRE </t>
  </si>
  <si>
    <t xml:space="preserve">VEGA PEIRANO GIANNINA </t>
  </si>
  <si>
    <t xml:space="preserve">PAPP - A </t>
  </si>
  <si>
    <t xml:space="preserve">BETA LIBRE HCG </t>
  </si>
  <si>
    <t xml:space="preserve">ZARATE DOMINGA DEL VALLE </t>
  </si>
  <si>
    <t xml:space="preserve">ALFA GALACTOSIDASA </t>
  </si>
  <si>
    <t xml:space="preserve">TISERA IRENE DELFINA </t>
  </si>
  <si>
    <t xml:space="preserve">GANGLISIDOSIS PANEL </t>
  </si>
  <si>
    <t xml:space="preserve">MARTIN ALICIA BEATRIZ </t>
  </si>
  <si>
    <t xml:space="preserve">TRASLOCACION 9.22 - CUALI </t>
  </si>
  <si>
    <t xml:space="preserve">GUGLIUCCI MARIA SUSANA </t>
  </si>
  <si>
    <t>NEUMOCOCO AC.</t>
  </si>
  <si>
    <t xml:space="preserve">BARAVALLE NELLY </t>
  </si>
  <si>
    <t xml:space="preserve">CROMOSOMA X FISH - IGVH </t>
  </si>
  <si>
    <t xml:space="preserve">CORREA VIRGINIA INES </t>
  </si>
  <si>
    <t>TRANSLOCACION 9.22 - BCR - CUANTI</t>
  </si>
  <si>
    <t xml:space="preserve">LAMBERTI RAUL LUIS </t>
  </si>
  <si>
    <t>CROMOSOMA ALTERACION 13</t>
  </si>
  <si>
    <t xml:space="preserve">INMUNIFENOTIPO - SUB. LINFOCITARIA </t>
  </si>
  <si>
    <t xml:space="preserve">SUAREZ ANA MARIA </t>
  </si>
  <si>
    <t xml:space="preserve">PROTEINA S LIBRE </t>
  </si>
  <si>
    <t xml:space="preserve">GLEZERMAN GRACIELA ROSA </t>
  </si>
  <si>
    <t>INMUNOFENOTIPO - SUB. LINFOPRO</t>
  </si>
  <si>
    <t xml:space="preserve">GIGENA JUAN DOMINGO </t>
  </si>
  <si>
    <t xml:space="preserve">INMUNOFIJACION SERICA </t>
  </si>
  <si>
    <t xml:space="preserve">ARIAS ESTELA GOFINDA </t>
  </si>
  <si>
    <t xml:space="preserve">CADENA LIVIANA KAPPA LIBRE </t>
  </si>
  <si>
    <t xml:space="preserve">LOPEZ LAURA MABEL </t>
  </si>
  <si>
    <t xml:space="preserve">ENERO </t>
  </si>
  <si>
    <t>SOSA NILDA GRACIELA</t>
  </si>
  <si>
    <t>DIAZ NELIDA</t>
  </si>
  <si>
    <t>TRASLOCACION CUANTITATIVA</t>
  </si>
  <si>
    <t>ARIAS ALFREDO AGUSTIN</t>
  </si>
  <si>
    <t>SOSA DIEGO DAMIAN</t>
  </si>
  <si>
    <t>ALFA 1 ANTITRPSINA SERICA</t>
  </si>
  <si>
    <t>CARBONE RICARDO JULIO</t>
  </si>
  <si>
    <t>CADENA LIVIANA KAPPA LIBRE SERICA</t>
  </si>
  <si>
    <t>CADENA LIVIANA LAMBDA LIBRE URINARIA</t>
  </si>
  <si>
    <t xml:space="preserve">ITALIA CARLOS GUILLERMO </t>
  </si>
  <si>
    <t>MONTI MIRTA LILIAN</t>
  </si>
  <si>
    <t>CADENA LIVIANA KAPPA Y LAMBDA SERICA</t>
  </si>
  <si>
    <t>INMUNOFIJACION URINARIA</t>
  </si>
  <si>
    <t>FUNES MABEL ROSARIO</t>
  </si>
  <si>
    <t xml:space="preserve">FOGONZA JUAN CARLOS </t>
  </si>
  <si>
    <t xml:space="preserve">ROSALES MARIA ELENA </t>
  </si>
  <si>
    <t xml:space="preserve">CADENA LIVIANA LAMBDA LIBRE </t>
  </si>
  <si>
    <t>BRAVO ALFREDO VIRGILIO</t>
  </si>
  <si>
    <t>HERRERA ROSENDO MATEO</t>
  </si>
  <si>
    <t>SINFROMES  LINFOPROLIFERATIVOS- FENOTIPIFICACION</t>
  </si>
  <si>
    <t xml:space="preserve">FEBRERO </t>
  </si>
  <si>
    <t xml:space="preserve">RODRIGUEZ JUAN OSCAR </t>
  </si>
  <si>
    <t>CADENA LIVIANA KAPPA LIBRE - S</t>
  </si>
  <si>
    <t xml:space="preserve">CADENA LIVIANA LAMBDA LIBRE - O </t>
  </si>
  <si>
    <t xml:space="preserve">MERCADO RUTH ANALIA </t>
  </si>
  <si>
    <t>HELICOBACTER PYLORI MF (ANTIG)</t>
  </si>
  <si>
    <t>CADENA LIVIANA KAPPA LIBRE S</t>
  </si>
  <si>
    <t xml:space="preserve">CADENA LIVIANA LAMBDA LIBRE U </t>
  </si>
  <si>
    <t>SINDROME LINFOPROL - FENOTIPO</t>
  </si>
  <si>
    <t xml:space="preserve">MERLO MARIA CRISTINA </t>
  </si>
  <si>
    <t>HELICOBACTER PYLORI MF - (ANTIG)</t>
  </si>
  <si>
    <t xml:space="preserve">MARTINEZ ADRIANA ANAHI </t>
  </si>
  <si>
    <t xml:space="preserve">TEST H. PYLORI </t>
  </si>
  <si>
    <t xml:space="preserve">VANDER VAART ANA MARIA </t>
  </si>
  <si>
    <t xml:space="preserve">CROSS MATCH PANEL </t>
  </si>
  <si>
    <t xml:space="preserve">CROSS MATCH DONANTE </t>
  </si>
  <si>
    <t>HLA A MOLECULAR</t>
  </si>
  <si>
    <t xml:space="preserve">HLA B MOLECULAR </t>
  </si>
  <si>
    <t xml:space="preserve">HLA DR CIRTROMETRIA FLUJO </t>
  </si>
  <si>
    <t xml:space="preserve">PERAL SILVIA ALICIA </t>
  </si>
  <si>
    <t>PILLA HERMINIO ANTONIO</t>
  </si>
  <si>
    <t>TEST HELICOBARTER PYLORI</t>
  </si>
  <si>
    <t>CAMACHO SUAREZ GRACIELA DEL VALLE</t>
  </si>
  <si>
    <t>CADENA LIVIANA LAMBDA LIBRE SERICA</t>
  </si>
  <si>
    <t>MARINO LAURA CATALINA</t>
  </si>
  <si>
    <t>TEST DE PYLORI</t>
  </si>
  <si>
    <t>MARVEGGIO GLADYS LAURA</t>
  </si>
  <si>
    <t>TRALOCACION (9,22) REAR. BCR/ABL LMC CUALITATIVAS</t>
  </si>
  <si>
    <t>TRALOCACION (9,22) REAR. BCR/ABL LLA CUALITATIVAS</t>
  </si>
  <si>
    <t>JAK 2</t>
  </si>
  <si>
    <t xml:space="preserve">MARZO </t>
  </si>
  <si>
    <t>BUSTAMANTE SUSANA ALICIA</t>
  </si>
  <si>
    <t>CALRETICULINA. SECUENCIACION EXON 9 GEN CALR</t>
  </si>
  <si>
    <t>VILLARROEL VICTOR EMILIO</t>
  </si>
  <si>
    <t>CADENA LIVIANA LAMBDA LIBRE- URINARIO</t>
  </si>
  <si>
    <t>FARINA BEATRIZ CONCEPCION</t>
  </si>
  <si>
    <t>ESTRADA MARTA DEL CARMEN</t>
  </si>
  <si>
    <t>AC. PLAQUETAS</t>
  </si>
  <si>
    <t>VIANO RAQUEL ELIZABETH</t>
  </si>
  <si>
    <t xml:space="preserve">CARIOTIPO- MEDULA OSEA/SANGRE PERIFERICA - panel mieloide </t>
  </si>
  <si>
    <t xml:space="preserve">LOPEZ PEDRO AURELIO </t>
  </si>
  <si>
    <t>PEÑA OSCAR OSVALDO</t>
  </si>
  <si>
    <t>CADENA LIVIANA KAPPA Y LAMBDA URINARIA</t>
  </si>
  <si>
    <t>ABRIL</t>
  </si>
  <si>
    <t xml:space="preserve">TULIAN ROXANA ELIZABETH </t>
  </si>
  <si>
    <t xml:space="preserve">CREATININA URINARIA </t>
  </si>
  <si>
    <t xml:space="preserve">CREATININA SANGRE </t>
  </si>
  <si>
    <t xml:space="preserve">ERITROSEDIMENTACION </t>
  </si>
  <si>
    <t xml:space="preserve">GLUCEMIA </t>
  </si>
  <si>
    <t xml:space="preserve">HEMOGRAMA </t>
  </si>
  <si>
    <t>HGOT</t>
  </si>
  <si>
    <t xml:space="preserve">BILI </t>
  </si>
  <si>
    <t xml:space="preserve">ORINA COMPLETA </t>
  </si>
  <si>
    <t xml:space="preserve">PROTEINA C REACTIVA </t>
  </si>
  <si>
    <t xml:space="preserve">UREMIA </t>
  </si>
  <si>
    <t xml:space="preserve">ORDOÑEZ ESTHER DEL VALLE </t>
  </si>
  <si>
    <t xml:space="preserve">CREATININA EN SANGRE </t>
  </si>
  <si>
    <t xml:space="preserve">GGT </t>
  </si>
  <si>
    <t>IONOGRAMA</t>
  </si>
  <si>
    <t>RECUENTO DE PLAQUETAS</t>
  </si>
  <si>
    <t>Maria Andrea Delgado</t>
  </si>
  <si>
    <t>Valores actualizados al mes de ABRIL2026</t>
  </si>
  <si>
    <t xml:space="preserve">Valor Anterior </t>
  </si>
  <si>
    <t>ESTUDIO MICROBIOMA INTESTINAL</t>
  </si>
  <si>
    <t>ALFA 1 ANTITRIPSINA (Mat Fecal)</t>
  </si>
  <si>
    <t>ALFA 1 ANTITRIPSINA CLEARENCE</t>
  </si>
  <si>
    <t>ALFA 1 ANTITRIPSINA EN SUERO</t>
  </si>
  <si>
    <t>CALPROTECTINA CUANTITATIVA</t>
  </si>
  <si>
    <t>CREATININA EN ORINA</t>
  </si>
  <si>
    <t>ELASTASA EN MATERIA FECAL</t>
  </si>
  <si>
    <t>EXAMEN FUNCIONAL MAT. FECAL (FIS-QUIM)</t>
  </si>
  <si>
    <t>IGA (MAT. FECAL)</t>
  </si>
  <si>
    <t>GRASA CUANTITATIVA MAT. FECAL VAN DE KAMER</t>
  </si>
  <si>
    <t>PARASITOLOGICO SERIADO (MAT. FECAL)</t>
  </si>
  <si>
    <t>SANGRE OCULTA INMUNOLOGICO (SIN DIETA)</t>
  </si>
  <si>
    <t>SANGRE OCULTA  (CON DIETA)</t>
  </si>
  <si>
    <t>ESCOBILLADO ANAL</t>
  </si>
  <si>
    <t>MICOLOGICO</t>
  </si>
  <si>
    <t>BIOCON</t>
  </si>
  <si>
    <t>ESTEATOCRITO CADA MUESTRA</t>
  </si>
  <si>
    <t>COPROCULTIVO</t>
  </si>
  <si>
    <t>AG HELICOBACTER PYLORI</t>
  </si>
  <si>
    <t>$16375,12</t>
  </si>
  <si>
    <t>TEST AIRE ESP . LACTOSA</t>
  </si>
  <si>
    <t>TEST AIRE ESP. FRUCTUOSA</t>
  </si>
  <si>
    <t>TEST AIRE ESP. SIBO</t>
  </si>
  <si>
    <t>TEST AIRE ESP. H PYLORI</t>
  </si>
  <si>
    <t>TEST DE INTOLERANCIA ALIMENTARIA 105 ALIMENTOS</t>
  </si>
  <si>
    <t>TEST DE INTOLERANCIA ALIMENTARIA 63 ALIMENTOS</t>
  </si>
  <si>
    <t xml:space="preserve">CLOSTRIDIUM </t>
  </si>
  <si>
    <t xml:space="preserve">Dra. Selva </t>
  </si>
  <si>
    <t xml:space="preserve">ZONULINA </t>
  </si>
  <si>
    <t xml:space="preserve">IACA </t>
  </si>
  <si>
    <t>PANEL DE PERMEABILIDAD INTESTINAL(Zonulina-Elastasa-Calprotectina-Alfa 1 Antitripsina)</t>
  </si>
  <si>
    <t>HLA DQ2/DQ8</t>
  </si>
  <si>
    <t>Laboratorio JUJUY</t>
  </si>
  <si>
    <t>Valores Abril 26 - Mayo 26</t>
  </si>
  <si>
    <t>Costo hasta el 31/05/26</t>
  </si>
  <si>
    <t>Tiempo de demora estimado</t>
  </si>
  <si>
    <t>Tipo de Muestra</t>
  </si>
  <si>
    <t>72hs recibida la muestra</t>
  </si>
  <si>
    <t>Sangre entera con citrato de sodio(2,5ml)</t>
  </si>
  <si>
    <t>NOTA: Costo de envío a cargo del Laboratorio.</t>
  </si>
  <si>
    <t>Laboratorio Castillo-Chidiak</t>
  </si>
  <si>
    <t>Valores actualizados al mes de DICIEMBRE 2025</t>
  </si>
  <si>
    <t>24 horas</t>
  </si>
  <si>
    <t>Se extrae la muestra en el laboratorio</t>
  </si>
  <si>
    <t>20 días hábiles</t>
  </si>
  <si>
    <t>72hs</t>
  </si>
  <si>
    <t>Sangre entera con citrato de sodio(5ml)</t>
  </si>
  <si>
    <t>NOTA: Estos valores se facturan una vez realizado el test. Condición de pago contado (transferencia)</t>
  </si>
  <si>
    <t>OSPECOR</t>
  </si>
  <si>
    <t>Valores actualizados al mes de Septiembre 2025</t>
  </si>
  <si>
    <t>Lab Clínico Noelia Dutto</t>
  </si>
  <si>
    <t>Valores actualizados al mes de Agosto 2025</t>
  </si>
  <si>
    <t xml:space="preserve">ACTUALIZADO </t>
  </si>
  <si>
    <t>Panel Biomarcador Institucional</t>
  </si>
  <si>
    <t xml:space="preserve">DERIVACION </t>
  </si>
  <si>
    <t>Costo Total</t>
  </si>
  <si>
    <t>PARTICULAR</t>
  </si>
  <si>
    <t>O.SOCIAL MINIMO</t>
  </si>
  <si>
    <t>DERIVACION</t>
  </si>
  <si>
    <t xml:space="preserve">ELASTASA </t>
  </si>
  <si>
    <t>ALFA 1 ANTITRIPSINA</t>
  </si>
  <si>
    <t xml:space="preserve">CALPROTECTINA </t>
  </si>
  <si>
    <t>PANEL COMPLETO</t>
  </si>
  <si>
    <t xml:space="preserve">ABRIL </t>
  </si>
  <si>
    <t>OBRA SOCIAL</t>
  </si>
  <si>
    <t>ANALISIS</t>
  </si>
  <si>
    <t>COSTO DERIVACION</t>
  </si>
  <si>
    <t xml:space="preserve">LUGAR DE DERIVACION </t>
  </si>
  <si>
    <t xml:space="preserve">COBERTURA OBRA SOCIAL </t>
  </si>
  <si>
    <t>SWISS</t>
  </si>
  <si>
    <t xml:space="preserve">Calprotectina </t>
  </si>
  <si>
    <t>Elastasa</t>
  </si>
  <si>
    <t>HLA DQ2-DQ8</t>
  </si>
  <si>
    <t xml:space="preserve">No sabemos si incluye a los dos o solo uno </t>
  </si>
  <si>
    <t>GALENO</t>
  </si>
  <si>
    <t>MEDIFE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</si>
</sst>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\ * #,##0.00_-;\-&quot;$&quot;\ * #,##0.00_-;_-&quot;$&quot;\ * &quot;-&quot;??_-;_-@"/>
    <numFmt numFmtId="165" formatCode="dd/mm"/>
    <numFmt numFmtId="166" formatCode="[$ $]#,##0.00"/>
    <numFmt numFmtId="167" formatCode="[$$]#,##0.00"/>
    <numFmt numFmtId="168" formatCode="mmmm\ yyyy"/>
  </numFmts>
  <fonts count="36">
    <font>
      <sz val="11.0"/>
      <color theme="1"/>
      <name val="Calibri"/>
      <scheme val="minor"/>
    </font>
    <font>
      <b/>
      <sz val="14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sz val="12.0"/>
      <color theme="1"/>
      <name val="Calibri"/>
    </font>
    <font>
      <sz val="10.0"/>
      <color theme="0"/>
      <name val="Calibri"/>
    </font>
    <font>
      <sz val="10.0"/>
      <color rgb="FFFFFFFF"/>
      <name val="Calibri"/>
    </font>
    <font>
      <b/>
      <sz val="9.0"/>
      <color rgb="FF000000"/>
      <name val="Calibri"/>
    </font>
    <font>
      <sz val="10.0"/>
      <color rgb="FF000000"/>
      <name val="Calibri"/>
    </font>
    <font>
      <sz val="8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4D4D4F"/>
      <name val="Calibri"/>
    </font>
    <font>
      <b/>
      <sz val="11.0"/>
      <color rgb="FF38761D"/>
      <name val="Calibri"/>
    </font>
    <font>
      <sz val="9.0"/>
      <color rgb="FF1F1F1F"/>
      <name val="Arial"/>
    </font>
    <font>
      <sz val="11.0"/>
      <color rgb="FF000000"/>
      <name val="Calibri"/>
    </font>
    <font/>
    <font>
      <b/>
      <sz val="11.0"/>
      <color rgb="FF000000"/>
      <name val="Calibri"/>
    </font>
    <font>
      <color theme="1"/>
      <name val="Calibri"/>
      <scheme val="minor"/>
    </font>
    <font>
      <b/>
      <sz val="13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FFFFFF"/>
      <name val="Calibri"/>
    </font>
    <font>
      <b/>
      <sz val="9.0"/>
      <color theme="0"/>
      <name val="Calibri"/>
    </font>
    <font>
      <b/>
      <sz val="9.0"/>
      <color rgb="FFFFFFFF"/>
      <name val="Calibri"/>
    </font>
    <font>
      <b/>
      <sz val="10.0"/>
      <color theme="1"/>
      <name val="Calibri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7.0"/>
      <color theme="1"/>
      <name val="Calibri"/>
      <scheme val="minor"/>
    </font>
    <font>
      <b/>
      <sz val="12.0"/>
      <color theme="1"/>
      <name val="Calibri"/>
      <scheme val="minor"/>
    </font>
    <font>
      <i/>
      <color theme="1"/>
      <name val="Calibri"/>
      <scheme val="minor"/>
    </font>
    <font>
      <b/>
      <color theme="1"/>
      <name val="Calibri"/>
      <scheme val="minor"/>
    </font>
    <font>
      <i/>
      <sz val="11.0"/>
      <color theme="1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00B050"/>
        <bgColor rgb="FF00B050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6"/>
        <bgColor theme="6"/>
      </patternFill>
    </fill>
    <fill>
      <patternFill patternType="solid">
        <fgColor rgb="FF999999"/>
        <bgColor rgb="FF999999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</border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/>
      <right/>
    </border>
    <border>
      <right/>
      <top/>
      <bottom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0" fillId="0" fontId="3" numFmtId="9" xfId="0" applyFont="1" applyNumberFormat="1"/>
    <xf borderId="0" fillId="0" fontId="3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2" numFmtId="9" xfId="0" applyAlignment="1" applyFont="1" applyNumberFormat="1">
      <alignment readingOrder="0"/>
    </xf>
    <xf borderId="2" fillId="3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readingOrder="0" shrinkToFit="0" vertical="center" wrapText="1"/>
    </xf>
    <xf borderId="2" fillId="5" fontId="2" numFmtId="164" xfId="0" applyAlignment="1" applyBorder="1" applyFont="1" applyNumberFormat="1">
      <alignment readingOrder="0"/>
    </xf>
    <xf borderId="2" fillId="5" fontId="2" numFmtId="164" xfId="0" applyBorder="1" applyFont="1" applyNumberFormat="1"/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readingOrder="0"/>
    </xf>
    <xf borderId="2" fillId="0" fontId="2" numFmtId="164" xfId="0" applyBorder="1" applyFont="1" applyNumberFormat="1"/>
    <xf borderId="2" fillId="2" fontId="2" numFmtId="0" xfId="0" applyAlignment="1" applyBorder="1" applyFont="1">
      <alignment shrinkToFit="0" vertical="center" wrapText="1"/>
    </xf>
    <xf borderId="2" fillId="2" fontId="2" numFmtId="164" xfId="0" applyAlignment="1" applyBorder="1" applyFont="1" applyNumberFormat="1">
      <alignment readingOrder="0"/>
    </xf>
    <xf borderId="2" fillId="2" fontId="2" numFmtId="164" xfId="0" applyBorder="1" applyFont="1" applyNumberFormat="1"/>
    <xf borderId="0" fillId="0" fontId="2" numFmtId="10" xfId="0" applyFont="1" applyNumberFormat="1"/>
    <xf borderId="2" fillId="2" fontId="2" numFmtId="0" xfId="0" applyBorder="1" applyFont="1"/>
    <xf borderId="2" fillId="2" fontId="7" numFmtId="164" xfId="0" applyAlignment="1" applyBorder="1" applyFont="1" applyNumberFormat="1">
      <alignment readingOrder="0"/>
    </xf>
    <xf borderId="2" fillId="6" fontId="2" numFmtId="0" xfId="0" applyAlignment="1" applyBorder="1" applyFill="1" applyFont="1">
      <alignment shrinkToFit="0" vertical="center" wrapText="1"/>
    </xf>
    <xf borderId="2" fillId="6" fontId="2" numFmtId="164" xfId="0" applyAlignment="1" applyBorder="1" applyFont="1" applyNumberFormat="1">
      <alignment readingOrder="0"/>
    </xf>
    <xf borderId="2" fillId="6" fontId="2" numFmtId="164" xfId="0" applyBorder="1" applyFont="1" applyNumberFormat="1"/>
    <xf borderId="2" fillId="7" fontId="2" numFmtId="164" xfId="0" applyBorder="1" applyFill="1" applyFont="1" applyNumberFormat="1"/>
    <xf borderId="2" fillId="8" fontId="2" numFmtId="0" xfId="0" applyAlignment="1" applyBorder="1" applyFill="1" applyFont="1">
      <alignment shrinkToFit="0" vertical="center" wrapText="1"/>
    </xf>
    <xf borderId="2" fillId="8" fontId="2" numFmtId="164" xfId="0" applyAlignment="1" applyBorder="1" applyFont="1" applyNumberFormat="1">
      <alignment readingOrder="0"/>
    </xf>
    <xf borderId="2" fillId="8" fontId="2" numFmtId="164" xfId="0" applyBorder="1" applyFont="1" applyNumberFormat="1"/>
    <xf borderId="2" fillId="2" fontId="8" numFmtId="0" xfId="0" applyAlignment="1" applyBorder="1" applyFont="1">
      <alignment shrinkToFit="0" vertical="center" wrapText="1"/>
    </xf>
    <xf borderId="2" fillId="2" fontId="8" numFmtId="164" xfId="0" applyAlignment="1" applyBorder="1" applyFont="1" applyNumberFormat="1">
      <alignment readingOrder="0"/>
    </xf>
    <xf borderId="2" fillId="2" fontId="8" numFmtId="164" xfId="0" applyBorder="1" applyFont="1" applyNumberFormat="1"/>
    <xf borderId="0" fillId="0" fontId="2" numFmtId="165" xfId="0" applyAlignment="1" applyFont="1" applyNumberFormat="1">
      <alignment readingOrder="0"/>
    </xf>
    <xf borderId="2" fillId="2" fontId="8" numFmtId="0" xfId="0" applyAlignment="1" applyBorder="1" applyFont="1">
      <alignment readingOrder="0" shrinkToFit="0" vertical="center" wrapText="1"/>
    </xf>
    <xf borderId="0" fillId="0" fontId="8" numFmtId="0" xfId="0" applyFont="1"/>
    <xf borderId="0" fillId="2" fontId="8" numFmtId="0" xfId="0" applyAlignment="1" applyFont="1">
      <alignment readingOrder="0"/>
    </xf>
    <xf borderId="2" fillId="9" fontId="8" numFmtId="0" xfId="0" applyAlignment="1" applyBorder="1" applyFill="1" applyFont="1">
      <alignment readingOrder="0" shrinkToFit="0" vertical="center" wrapText="1"/>
    </xf>
    <xf borderId="0" fillId="2" fontId="2" numFmtId="0" xfId="0" applyAlignment="1" applyFont="1">
      <alignment readingOrder="0"/>
    </xf>
    <xf borderId="2" fillId="2" fontId="2" numFmtId="0" xfId="0" applyAlignment="1" applyBorder="1" applyFont="1">
      <alignment readingOrder="0"/>
    </xf>
    <xf borderId="2" fillId="2" fontId="8" numFmtId="0" xfId="0" applyAlignment="1" applyBorder="1" applyFont="1">
      <alignment readingOrder="0"/>
    </xf>
    <xf borderId="2" fillId="10" fontId="9" numFmtId="0" xfId="0" applyAlignment="1" applyBorder="1" applyFill="1" applyFont="1">
      <alignment readingOrder="0"/>
    </xf>
    <xf borderId="3" fillId="2" fontId="2" numFmtId="0" xfId="0" applyBorder="1" applyFont="1"/>
    <xf borderId="0" fillId="0" fontId="10" numFmtId="0" xfId="0" applyAlignment="1" applyFont="1">
      <alignment readingOrder="0"/>
    </xf>
    <xf borderId="0" fillId="0" fontId="11" numFmtId="166" xfId="0" applyAlignment="1" applyFont="1" applyNumberFormat="1">
      <alignment horizontal="right"/>
    </xf>
    <xf borderId="0" fillId="0" fontId="11" numFmtId="0" xfId="0" applyAlignment="1" applyFont="1">
      <alignment horizontal="center"/>
    </xf>
    <xf borderId="1" fillId="4" fontId="11" numFmtId="0" xfId="0" applyAlignment="1" applyBorder="1" applyFont="1">
      <alignment horizontal="center"/>
    </xf>
    <xf borderId="1" fillId="4" fontId="11" numFmtId="0" xfId="0" applyAlignment="1" applyBorder="1" applyFont="1">
      <alignment horizontal="center" readingOrder="0"/>
    </xf>
    <xf borderId="0" fillId="0" fontId="10" numFmtId="166" xfId="0" applyAlignment="1" applyFont="1" applyNumberFormat="1">
      <alignment horizontal="right"/>
    </xf>
    <xf borderId="0" fillId="0" fontId="10" numFmtId="0" xfId="0" applyAlignment="1" applyFont="1">
      <alignment horizontal="center"/>
    </xf>
    <xf borderId="1" fillId="4" fontId="10" numFmtId="0" xfId="0" applyAlignment="1" applyBorder="1" applyFont="1">
      <alignment horizontal="center"/>
    </xf>
    <xf borderId="1" fillId="11" fontId="11" numFmtId="0" xfId="0" applyBorder="1" applyFill="1" applyFont="1"/>
    <xf borderId="0" fillId="0" fontId="11" numFmtId="0" xfId="0" applyFont="1"/>
    <xf borderId="1" fillId="4" fontId="11" numFmtId="164" xfId="0" applyBorder="1" applyFont="1" applyNumberFormat="1"/>
    <xf borderId="0" fillId="0" fontId="11" numFmtId="9" xfId="0" applyFont="1" applyNumberFormat="1"/>
    <xf borderId="1" fillId="4" fontId="10" numFmtId="164" xfId="0" applyBorder="1" applyFont="1" applyNumberFormat="1"/>
    <xf borderId="0" fillId="0" fontId="10" numFmtId="0" xfId="0" applyFont="1"/>
    <xf borderId="2" fillId="0" fontId="10" numFmtId="0" xfId="0" applyBorder="1" applyFont="1"/>
    <xf borderId="0" fillId="0" fontId="10" numFmtId="166" xfId="0" applyAlignment="1" applyFont="1" applyNumberFormat="1">
      <alignment horizontal="left"/>
    </xf>
    <xf borderId="1" fillId="4" fontId="11" numFmtId="0" xfId="0" applyBorder="1" applyFont="1"/>
    <xf borderId="1" fillId="12" fontId="11" numFmtId="0" xfId="0" applyBorder="1" applyFill="1" applyFont="1"/>
    <xf borderId="1" fillId="2" fontId="11" numFmtId="166" xfId="0" applyAlignment="1" applyBorder="1" applyFont="1" applyNumberFormat="1">
      <alignment horizontal="right"/>
    </xf>
    <xf borderId="1" fillId="2" fontId="11" numFmtId="49" xfId="0" applyAlignment="1" applyBorder="1" applyFont="1" applyNumberFormat="1">
      <alignment horizontal="center"/>
    </xf>
    <xf borderId="1" fillId="13" fontId="11" numFmtId="0" xfId="0" applyBorder="1" applyFill="1" applyFont="1"/>
    <xf borderId="1" fillId="13" fontId="11" numFmtId="166" xfId="0" applyBorder="1" applyFont="1" applyNumberFormat="1"/>
    <xf borderId="1" fillId="13" fontId="11" numFmtId="164" xfId="0" applyBorder="1" applyFont="1" applyNumberFormat="1"/>
    <xf borderId="1" fillId="2" fontId="11" numFmtId="10" xfId="0" applyBorder="1" applyFont="1" applyNumberFormat="1"/>
    <xf borderId="1" fillId="2" fontId="12" numFmtId="166" xfId="0" applyAlignment="1" applyBorder="1" applyFont="1" applyNumberFormat="1">
      <alignment horizontal="right"/>
    </xf>
    <xf borderId="1" fillId="2" fontId="11" numFmtId="0" xfId="0" applyAlignment="1" applyBorder="1" applyFont="1">
      <alignment horizontal="center"/>
    </xf>
    <xf borderId="0" fillId="0" fontId="13" numFmtId="166" xfId="0" applyAlignment="1" applyFont="1" applyNumberFormat="1">
      <alignment horizontal="right"/>
    </xf>
    <xf borderId="1" fillId="4" fontId="11" numFmtId="166" xfId="0" applyBorder="1" applyFont="1" applyNumberFormat="1"/>
    <xf borderId="0" fillId="0" fontId="11" numFmtId="10" xfId="0" applyFont="1" applyNumberFormat="1"/>
    <xf borderId="1" fillId="4" fontId="10" numFmtId="167" xfId="0" applyBorder="1" applyFont="1" applyNumberFormat="1"/>
    <xf borderId="1" fillId="12" fontId="10" numFmtId="167" xfId="0" applyBorder="1" applyFont="1" applyNumberFormat="1"/>
    <xf borderId="1" fillId="14" fontId="11" numFmtId="0" xfId="0" applyBorder="1" applyFill="1" applyFont="1"/>
    <xf borderId="0" fillId="0" fontId="11" numFmtId="166" xfId="0" applyAlignment="1" applyFont="1" applyNumberFormat="1">
      <alignment horizontal="center"/>
    </xf>
    <xf borderId="1" fillId="6" fontId="11" numFmtId="164" xfId="0" applyBorder="1" applyFont="1" applyNumberFormat="1"/>
    <xf borderId="1" fillId="5" fontId="11" numFmtId="0" xfId="0" applyBorder="1" applyFont="1"/>
    <xf borderId="1" fillId="5" fontId="11" numFmtId="166" xfId="0" applyAlignment="1" applyBorder="1" applyFont="1" applyNumberFormat="1">
      <alignment horizontal="right"/>
    </xf>
    <xf borderId="1" fillId="5" fontId="11" numFmtId="0" xfId="0" applyAlignment="1" applyBorder="1" applyFont="1">
      <alignment horizontal="center"/>
    </xf>
    <xf borderId="1" fillId="5" fontId="11" numFmtId="166" xfId="0" applyBorder="1" applyFont="1" applyNumberFormat="1"/>
    <xf borderId="1" fillId="5" fontId="11" numFmtId="164" xfId="0" applyBorder="1" applyFont="1" applyNumberFormat="1"/>
    <xf borderId="1" fillId="5" fontId="11" numFmtId="10" xfId="0" applyBorder="1" applyFont="1" applyNumberFormat="1"/>
    <xf borderId="1" fillId="4" fontId="10" numFmtId="0" xfId="0" applyBorder="1" applyFont="1"/>
    <xf borderId="1" fillId="15" fontId="10" numFmtId="0" xfId="0" applyBorder="1" applyFill="1" applyFont="1"/>
    <xf borderId="1" fillId="15" fontId="10" numFmtId="166" xfId="0" applyAlignment="1" applyBorder="1" applyFont="1" applyNumberFormat="1">
      <alignment horizontal="right"/>
    </xf>
    <xf borderId="1" fillId="15" fontId="10" numFmtId="0" xfId="0" applyAlignment="1" applyBorder="1" applyFont="1">
      <alignment horizontal="center"/>
    </xf>
    <xf borderId="1" fillId="15" fontId="11" numFmtId="10" xfId="0" applyBorder="1" applyFont="1" applyNumberFormat="1"/>
    <xf borderId="1" fillId="15" fontId="11" numFmtId="0" xfId="0" applyBorder="1" applyFont="1"/>
    <xf borderId="1" fillId="15" fontId="11" numFmtId="166" xfId="0" applyAlignment="1" applyBorder="1" applyFont="1" applyNumberFormat="1">
      <alignment horizontal="right"/>
    </xf>
    <xf borderId="1" fillId="15" fontId="11" numFmtId="0" xfId="0" applyAlignment="1" applyBorder="1" applyFont="1">
      <alignment horizontal="center"/>
    </xf>
    <xf borderId="1" fillId="15" fontId="11" numFmtId="166" xfId="0" applyBorder="1" applyFont="1" applyNumberFormat="1"/>
    <xf borderId="1" fillId="15" fontId="10" numFmtId="167" xfId="0" applyBorder="1" applyFont="1" applyNumberFormat="1"/>
    <xf borderId="1" fillId="15" fontId="11" numFmtId="164" xfId="0" applyBorder="1" applyFont="1" applyNumberFormat="1"/>
    <xf borderId="1" fillId="15" fontId="14" numFmtId="0" xfId="0" applyBorder="1" applyFont="1"/>
    <xf borderId="1" fillId="15" fontId="15" numFmtId="0" xfId="0" applyAlignment="1" applyBorder="1" applyFont="1">
      <alignment horizontal="left"/>
    </xf>
    <xf borderId="1" fillId="16" fontId="11" numFmtId="0" xfId="0" applyBorder="1" applyFill="1" applyFont="1"/>
    <xf borderId="1" fillId="16" fontId="11" numFmtId="166" xfId="0" applyAlignment="1" applyBorder="1" applyFont="1" applyNumberFormat="1">
      <alignment horizontal="right"/>
    </xf>
    <xf borderId="1" fillId="17" fontId="11" numFmtId="166" xfId="0" applyBorder="1" applyFill="1" applyFont="1" applyNumberFormat="1"/>
    <xf borderId="1" fillId="18" fontId="11" numFmtId="0" xfId="0" applyBorder="1" applyFill="1" applyFont="1"/>
    <xf borderId="1" fillId="18" fontId="11" numFmtId="166" xfId="0" applyAlignment="1" applyBorder="1" applyFont="1" applyNumberFormat="1">
      <alignment horizontal="right"/>
    </xf>
    <xf borderId="1" fillId="18" fontId="11" numFmtId="0" xfId="0" applyAlignment="1" applyBorder="1" applyFont="1">
      <alignment horizontal="center"/>
    </xf>
    <xf borderId="4" fillId="15" fontId="11" numFmtId="0" xfId="0" applyBorder="1" applyFont="1"/>
    <xf borderId="4" fillId="15" fontId="11" numFmtId="166" xfId="0" applyBorder="1" applyFont="1" applyNumberFormat="1"/>
    <xf borderId="3" fillId="0" fontId="16" numFmtId="0" xfId="0" applyBorder="1" applyFont="1"/>
    <xf borderId="1" fillId="6" fontId="10" numFmtId="0" xfId="0" applyBorder="1" applyFont="1"/>
    <xf borderId="1" fillId="19" fontId="11" numFmtId="0" xfId="0" applyBorder="1" applyFill="1" applyFont="1"/>
    <xf borderId="0" fillId="0" fontId="11" numFmtId="166" xfId="0" applyFont="1" applyNumberFormat="1"/>
    <xf borderId="1" fillId="20" fontId="11" numFmtId="166" xfId="0" applyBorder="1" applyFill="1" applyFont="1" applyNumberFormat="1"/>
    <xf borderId="1" fillId="21" fontId="11" numFmtId="0" xfId="0" applyBorder="1" applyFill="1" applyFont="1"/>
    <xf borderId="0" fillId="0" fontId="10" numFmtId="166" xfId="0" applyFont="1" applyNumberFormat="1"/>
    <xf borderId="1" fillId="9" fontId="11" numFmtId="0" xfId="0" applyBorder="1" applyFont="1"/>
    <xf borderId="1" fillId="9" fontId="11" numFmtId="166" xfId="0" applyAlignment="1" applyBorder="1" applyFont="1" applyNumberFormat="1">
      <alignment horizontal="right"/>
    </xf>
    <xf borderId="1" fillId="9" fontId="11" numFmtId="0" xfId="0" applyAlignment="1" applyBorder="1" applyFont="1">
      <alignment horizontal="center"/>
    </xf>
    <xf borderId="0" fillId="0" fontId="15" numFmtId="0" xfId="0" applyAlignment="1" applyFont="1">
      <alignment horizontal="left"/>
    </xf>
    <xf borderId="5" fillId="22" fontId="17" numFmtId="0" xfId="0" applyAlignment="1" applyBorder="1" applyFill="1" applyFont="1">
      <alignment horizontal="center"/>
    </xf>
    <xf borderId="1" fillId="8" fontId="11" numFmtId="0" xfId="0" applyBorder="1" applyFont="1"/>
    <xf borderId="0" fillId="0" fontId="11" numFmtId="168" xfId="0" applyFont="1" applyNumberFormat="1"/>
    <xf borderId="4" fillId="20" fontId="11" numFmtId="166" xfId="0" applyAlignment="1" applyBorder="1" applyFont="1" applyNumberFormat="1">
      <alignment vertical="center"/>
    </xf>
    <xf borderId="6" fillId="0" fontId="16" numFmtId="0" xfId="0" applyBorder="1" applyFont="1"/>
    <xf borderId="1" fillId="2" fontId="15" numFmtId="166" xfId="0" applyBorder="1" applyFont="1" applyNumberFormat="1"/>
    <xf borderId="2" fillId="0" fontId="17" numFmtId="0" xfId="0" applyBorder="1" applyFont="1"/>
    <xf borderId="1" fillId="2" fontId="11" numFmtId="0" xfId="0" applyBorder="1" applyFont="1"/>
    <xf borderId="2" fillId="2" fontId="17" numFmtId="0" xfId="0" applyBorder="1" applyFont="1"/>
    <xf borderId="2" fillId="2" fontId="17" numFmtId="0" xfId="0" applyAlignment="1" applyBorder="1" applyFont="1">
      <alignment horizontal="left"/>
    </xf>
    <xf borderId="1" fillId="23" fontId="11" numFmtId="0" xfId="0" applyBorder="1" applyFill="1" applyFont="1"/>
    <xf borderId="1" fillId="2" fontId="11" numFmtId="166" xfId="0" applyAlignment="1" applyBorder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1" fillId="24" fontId="11" numFmtId="0" xfId="0" applyBorder="1" applyFill="1" applyFont="1"/>
    <xf borderId="1" fillId="13" fontId="11" numFmtId="9" xfId="0" applyBorder="1" applyFont="1" applyNumberFormat="1"/>
    <xf borderId="1" fillId="2" fontId="10" numFmtId="166" xfId="0" applyAlignment="1" applyBorder="1" applyFont="1" applyNumberFormat="1">
      <alignment horizontal="center"/>
    </xf>
    <xf borderId="4" fillId="25" fontId="11" numFmtId="0" xfId="0" applyBorder="1" applyFill="1" applyFont="1"/>
    <xf borderId="2" fillId="2" fontId="10" numFmtId="0" xfId="0" applyBorder="1" applyFont="1"/>
    <xf borderId="7" fillId="2" fontId="11" numFmtId="166" xfId="0" applyAlignment="1" applyBorder="1" applyFont="1" applyNumberFormat="1">
      <alignment horizontal="center"/>
    </xf>
    <xf borderId="2" fillId="2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1" numFmtId="166" xfId="0" applyAlignment="1" applyFont="1" applyNumberFormat="1">
      <alignment horizontal="right" readingOrder="0"/>
    </xf>
    <xf borderId="0" fillId="0" fontId="11" numFmtId="0" xfId="0" applyAlignment="1" applyFont="1">
      <alignment horizontal="center" readingOrder="0"/>
    </xf>
    <xf borderId="2" fillId="26" fontId="10" numFmtId="0" xfId="0" applyAlignment="1" applyBorder="1" applyFill="1" applyFont="1">
      <alignment readingOrder="0"/>
    </xf>
    <xf borderId="0" fillId="0" fontId="18" numFmtId="0" xfId="0" applyAlignment="1" applyFont="1">
      <alignment readingOrder="0"/>
    </xf>
    <xf borderId="4" fillId="19" fontId="11" numFmtId="0" xfId="0" applyAlignment="1" applyBorder="1" applyFont="1">
      <alignment readingOrder="0"/>
    </xf>
    <xf borderId="1" fillId="19" fontId="11" numFmtId="0" xfId="0" applyAlignment="1" applyBorder="1" applyFont="1">
      <alignment readingOrder="0"/>
    </xf>
    <xf borderId="7" fillId="27" fontId="11" numFmtId="166" xfId="0" applyAlignment="1" applyBorder="1" applyFill="1" applyFont="1" applyNumberFormat="1">
      <alignment horizontal="center"/>
    </xf>
    <xf borderId="1" fillId="2" fontId="11" numFmtId="0" xfId="0" applyAlignment="1" applyBorder="1" applyFont="1">
      <alignment horizontal="center" readingOrder="0"/>
    </xf>
    <xf borderId="1" fillId="27" fontId="11" numFmtId="0" xfId="0" applyAlignment="1" applyBorder="1" applyFont="1">
      <alignment horizontal="center"/>
    </xf>
    <xf borderId="1" fillId="27" fontId="11" numFmtId="166" xfId="0" applyAlignment="1" applyBorder="1" applyFont="1" applyNumberFormat="1">
      <alignment horizontal="center"/>
    </xf>
    <xf borderId="0" fillId="2" fontId="10" numFmtId="0" xfId="0" applyAlignment="1" applyFont="1">
      <alignment readingOrder="0"/>
    </xf>
    <xf borderId="0" fillId="2" fontId="11" numFmtId="166" xfId="0" applyAlignment="1" applyFont="1" applyNumberFormat="1">
      <alignment horizontal="center"/>
    </xf>
    <xf borderId="0" fillId="2" fontId="11" numFmtId="0" xfId="0" applyAlignment="1" applyFont="1">
      <alignment horizontal="center" readingOrder="0"/>
    </xf>
    <xf borderId="0" fillId="2" fontId="11" numFmtId="0" xfId="0" applyAlignment="1" applyFont="1">
      <alignment horizontal="center"/>
    </xf>
    <xf borderId="1" fillId="2" fontId="11" numFmtId="166" xfId="0" applyBorder="1" applyFont="1" applyNumberFormat="1"/>
    <xf borderId="4" fillId="28" fontId="11" numFmtId="0" xfId="0" applyAlignment="1" applyBorder="1" applyFill="1" applyFont="1">
      <alignment readingOrder="0"/>
    </xf>
    <xf borderId="1" fillId="28" fontId="11" numFmtId="0" xfId="0" applyBorder="1" applyFont="1"/>
    <xf borderId="1" fillId="28" fontId="11" numFmtId="0" xfId="0" applyAlignment="1" applyBorder="1" applyFont="1">
      <alignment readingOrder="0"/>
    </xf>
    <xf borderId="7" fillId="22" fontId="11" numFmtId="166" xfId="0" applyAlignment="1" applyBorder="1" applyFont="1" applyNumberFormat="1">
      <alignment horizontal="center"/>
    </xf>
    <xf borderId="1" fillId="22" fontId="11" numFmtId="0" xfId="0" applyAlignment="1" applyBorder="1" applyFont="1">
      <alignment horizontal="center"/>
    </xf>
    <xf borderId="1" fillId="22" fontId="11" numFmtId="166" xfId="0" applyAlignment="1" applyBorder="1" applyFont="1" applyNumberFormat="1">
      <alignment horizontal="center"/>
    </xf>
    <xf borderId="0" fillId="22" fontId="11" numFmtId="166" xfId="0" applyAlignment="1" applyFont="1" applyNumberFormat="1">
      <alignment horizontal="center"/>
    </xf>
    <xf borderId="0" fillId="22" fontId="11" numFmtId="0" xfId="0" applyAlignment="1" applyFont="1">
      <alignment horizontal="center"/>
    </xf>
    <xf borderId="2" fillId="9" fontId="10" numFmtId="0" xfId="0" applyAlignment="1" applyBorder="1" applyFont="1">
      <alignment readingOrder="0"/>
    </xf>
    <xf borderId="4" fillId="27" fontId="11" numFmtId="0" xfId="0" applyAlignment="1" applyBorder="1" applyFont="1">
      <alignment readingOrder="0" vertical="bottom"/>
    </xf>
    <xf borderId="1" fillId="27" fontId="11" numFmtId="166" xfId="0" applyAlignment="1" applyBorder="1" applyFont="1" applyNumberFormat="1">
      <alignment vertical="bottom"/>
    </xf>
    <xf borderId="1" fillId="27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1" fillId="4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2" fontId="11" numFmtId="166" xfId="0" applyAlignment="1" applyFont="1" applyNumberFormat="1">
      <alignment vertical="bottom"/>
    </xf>
    <xf borderId="0" fillId="2" fontId="11" numFmtId="0" xfId="0" applyAlignment="1" applyFont="1">
      <alignment vertical="bottom"/>
    </xf>
    <xf borderId="1" fillId="2" fontId="11" numFmtId="0" xfId="0" applyAlignment="1" applyBorder="1" applyFont="1">
      <alignment vertical="bottom"/>
    </xf>
    <xf borderId="2" fillId="2" fontId="10" numFmtId="0" xfId="0" applyAlignment="1" applyBorder="1" applyFont="1">
      <alignment readingOrder="0" vertical="bottom"/>
    </xf>
    <xf borderId="7" fillId="27" fontId="11" numFmtId="166" xfId="0" applyAlignment="1" applyBorder="1" applyFont="1" applyNumberFormat="1">
      <alignment horizontal="center" vertical="bottom"/>
    </xf>
    <xf borderId="1" fillId="2" fontId="11" numFmtId="0" xfId="0" applyAlignment="1" applyBorder="1" applyFont="1">
      <alignment horizontal="center" vertical="bottom"/>
    </xf>
    <xf borderId="1" fillId="27" fontId="11" numFmtId="0" xfId="0" applyAlignment="1" applyBorder="1" applyFont="1">
      <alignment horizontal="center" vertical="bottom"/>
    </xf>
    <xf borderId="1" fillId="2" fontId="11" numFmtId="166" xfId="0" applyAlignment="1" applyBorder="1" applyFont="1" applyNumberFormat="1">
      <alignment horizontal="center" vertical="bottom"/>
    </xf>
    <xf borderId="1" fillId="27" fontId="11" numFmtId="166" xfId="0" applyAlignment="1" applyBorder="1" applyFont="1" applyNumberFormat="1">
      <alignment horizontal="center" vertical="bottom"/>
    </xf>
    <xf borderId="0" fillId="0" fontId="11" numFmtId="0" xfId="0" applyAlignment="1" applyFont="1">
      <alignment readingOrder="0" vertical="bottom"/>
    </xf>
    <xf borderId="0" fillId="0" fontId="11" numFmtId="166" xfId="0" applyAlignment="1" applyFont="1" applyNumberFormat="1">
      <alignment horizontal="right" readingOrder="0"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1" numFmtId="166" xfId="0" applyAlignment="1" applyFont="1" applyNumberFormat="1">
      <alignment horizontal="right" vertical="bottom"/>
    </xf>
    <xf borderId="1" fillId="4" fontId="11" numFmtId="166" xfId="0" applyAlignment="1" applyBorder="1" applyFont="1" applyNumberFormat="1">
      <alignment horizontal="right" vertical="bottom"/>
    </xf>
    <xf borderId="1" fillId="20" fontId="11" numFmtId="166" xfId="0" applyAlignment="1" applyBorder="1" applyFont="1" applyNumberFormat="1">
      <alignment horizontal="right" vertical="bottom"/>
    </xf>
    <xf borderId="1" fillId="20" fontId="11" numFmtId="166" xfId="0" applyAlignment="1" applyBorder="1" applyFont="1" applyNumberFormat="1">
      <alignment vertical="bottom"/>
    </xf>
    <xf borderId="0" fillId="12" fontId="18" numFmtId="0" xfId="0" applyAlignment="1" applyFont="1">
      <alignment readingOrder="0"/>
    </xf>
    <xf borderId="0" fillId="12" fontId="11" numFmtId="166" xfId="0" applyAlignment="1" applyFont="1" applyNumberFormat="1">
      <alignment horizontal="right" readingOrder="0" vertical="bottom"/>
    </xf>
    <xf borderId="0" fillId="12" fontId="11" numFmtId="0" xfId="0" applyAlignment="1" applyFont="1">
      <alignment horizontal="center" vertical="bottom"/>
    </xf>
    <xf borderId="0" fillId="12" fontId="11" numFmtId="0" xfId="0" applyAlignment="1" applyFont="1">
      <alignment horizontal="center" readingOrder="0" vertical="bottom"/>
    </xf>
    <xf borderId="0" fillId="12" fontId="11" numFmtId="166" xfId="0" applyAlignment="1" applyFont="1" applyNumberFormat="1">
      <alignment horizontal="right" vertical="bottom"/>
    </xf>
    <xf borderId="0" fillId="4" fontId="11" numFmtId="0" xfId="0" applyFont="1"/>
    <xf borderId="2" fillId="2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4" fillId="27" fontId="19" numFmtId="0" xfId="0" applyAlignment="1" applyBorder="1" applyFont="1">
      <alignment readingOrder="0" vertical="bottom"/>
    </xf>
    <xf borderId="0" fillId="2" fontId="10" numFmtId="0" xfId="0" applyAlignment="1" applyFont="1">
      <alignment readingOrder="0" vertical="bottom"/>
    </xf>
    <xf borderId="0" fillId="2" fontId="11" numFmtId="166" xfId="0" applyAlignment="1" applyFont="1" applyNumberFormat="1">
      <alignment horizontal="center" vertical="bottom"/>
    </xf>
    <xf borderId="0" fillId="2" fontId="11" numFmtId="0" xfId="0" applyAlignment="1" applyFont="1">
      <alignment horizontal="center" vertical="bottom"/>
    </xf>
    <xf borderId="0" fillId="2" fontId="18" numFmtId="0" xfId="0" applyAlignment="1" applyFont="1">
      <alignment readingOrder="0"/>
    </xf>
    <xf borderId="4" fillId="29" fontId="19" numFmtId="0" xfId="0" applyAlignment="1" applyBorder="1" applyFill="1" applyFont="1">
      <alignment readingOrder="0" vertical="bottom"/>
    </xf>
    <xf borderId="1" fillId="29" fontId="11" numFmtId="166" xfId="0" applyAlignment="1" applyBorder="1" applyFont="1" applyNumberFormat="1">
      <alignment vertical="bottom"/>
    </xf>
    <xf borderId="1" fillId="29" fontId="11" numFmtId="0" xfId="0" applyAlignment="1" applyBorder="1" applyFont="1">
      <alignment horizontal="right" readingOrder="0" vertical="bottom"/>
    </xf>
    <xf borderId="2" fillId="8" fontId="10" numFmtId="0" xfId="0" applyAlignment="1" applyBorder="1" applyFont="1">
      <alignment readingOrder="0" vertical="bottom"/>
    </xf>
    <xf borderId="7" fillId="29" fontId="11" numFmtId="166" xfId="0" applyAlignment="1" applyBorder="1" applyFont="1" applyNumberFormat="1">
      <alignment horizontal="center" vertical="bottom"/>
    </xf>
    <xf borderId="1" fillId="29" fontId="11" numFmtId="0" xfId="0" applyAlignment="1" applyBorder="1" applyFont="1">
      <alignment horizontal="center" vertical="bottom"/>
    </xf>
    <xf borderId="1" fillId="29" fontId="11" numFmtId="166" xfId="0" applyAlignment="1" applyBorder="1" applyFont="1" applyNumberFormat="1">
      <alignment horizontal="center" vertical="bottom"/>
    </xf>
    <xf borderId="0" fillId="0" fontId="18" numFmtId="0" xfId="0" applyFont="1"/>
    <xf borderId="0" fillId="2" fontId="11" numFmtId="166" xfId="0" applyAlignment="1" applyFont="1" applyNumberFormat="1">
      <alignment horizontal="right"/>
    </xf>
    <xf borderId="0" fillId="2" fontId="11" numFmtId="0" xfId="0" applyFont="1"/>
    <xf borderId="0" fillId="2" fontId="18" numFmtId="0" xfId="0" applyFont="1"/>
    <xf borderId="0" fillId="2" fontId="11" numFmtId="166" xfId="0" applyAlignment="1" applyFont="1" applyNumberFormat="1">
      <alignment horizontal="right" readingOrder="0" vertical="bottom"/>
    </xf>
    <xf borderId="0" fillId="2" fontId="11" numFmtId="0" xfId="0" applyAlignment="1" applyFont="1">
      <alignment horizontal="center" readingOrder="0" vertical="bottom"/>
    </xf>
    <xf borderId="0" fillId="2" fontId="11" numFmtId="166" xfId="0" applyAlignment="1" applyFont="1" applyNumberFormat="1">
      <alignment horizontal="right" vertical="bottom"/>
    </xf>
    <xf borderId="1" fillId="13" fontId="11" numFmtId="166" xfId="0" applyAlignment="1" applyBorder="1" applyFont="1" applyNumberFormat="1">
      <alignment horizontal="right" vertical="bottom"/>
    </xf>
    <xf borderId="2" fillId="2" fontId="15" numFmtId="166" xfId="0" applyAlignment="1" applyBorder="1" applyFont="1" applyNumberFormat="1">
      <alignment horizontal="right" readingOrder="0"/>
    </xf>
    <xf borderId="0" fillId="0" fontId="18" numFmtId="166" xfId="0" applyFont="1" applyNumberFormat="1"/>
    <xf borderId="4" fillId="9" fontId="19" numFmtId="0" xfId="0" applyAlignment="1" applyBorder="1" applyFont="1">
      <alignment readingOrder="0" vertical="bottom"/>
    </xf>
    <xf borderId="1" fillId="9" fontId="11" numFmtId="166" xfId="0" applyAlignment="1" applyBorder="1" applyFont="1" applyNumberFormat="1">
      <alignment vertical="bottom"/>
    </xf>
    <xf borderId="1" fillId="9" fontId="11" numFmtId="0" xfId="0" applyAlignment="1" applyBorder="1" applyFont="1">
      <alignment horizontal="right" readingOrder="0" vertical="bottom"/>
    </xf>
    <xf borderId="1" fillId="2" fontId="11" numFmtId="166" xfId="0" applyAlignment="1" applyBorder="1" applyFont="1" applyNumberFormat="1">
      <alignment horizontal="right" vertical="bottom"/>
    </xf>
    <xf borderId="1" fillId="2" fontId="11" numFmtId="166" xfId="0" applyAlignment="1" applyBorder="1" applyFont="1" applyNumberFormat="1">
      <alignment vertical="bottom"/>
    </xf>
    <xf borderId="8" fillId="27" fontId="11" numFmtId="166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horizontal="center" vertical="bottom"/>
    </xf>
    <xf borderId="4" fillId="27" fontId="11" numFmtId="0" xfId="0" applyAlignment="1" applyBorder="1" applyFont="1">
      <alignment horizontal="center" vertical="bottom"/>
    </xf>
    <xf borderId="4" fillId="2" fontId="11" numFmtId="166" xfId="0" applyAlignment="1" applyBorder="1" applyFont="1" applyNumberFormat="1">
      <alignment horizontal="center" vertical="bottom"/>
    </xf>
    <xf borderId="4" fillId="27" fontId="11" numFmtId="166" xfId="0" applyAlignment="1" applyBorder="1" applyFont="1" applyNumberFormat="1">
      <alignment horizontal="center" vertical="bottom"/>
    </xf>
    <xf borderId="4" fillId="4" fontId="11" numFmtId="0" xfId="0" applyAlignment="1" applyBorder="1" applyFont="1">
      <alignment vertical="bottom"/>
    </xf>
    <xf borderId="0" fillId="4" fontId="11" numFmtId="166" xfId="0" applyAlignment="1" applyFont="1" applyNumberFormat="1">
      <alignment horizontal="right" vertical="bottom"/>
    </xf>
    <xf borderId="0" fillId="20" fontId="11" numFmtId="166" xfId="0" applyAlignment="1" applyFont="1" applyNumberFormat="1">
      <alignment vertical="bottom"/>
    </xf>
    <xf borderId="9" fillId="2" fontId="10" numFmtId="0" xfId="0" applyAlignment="1" applyBorder="1" applyFont="1">
      <alignment readingOrder="0" vertical="bottom"/>
    </xf>
    <xf borderId="0" fillId="27" fontId="11" numFmtId="166" xfId="0" applyAlignment="1" applyFont="1" applyNumberFormat="1">
      <alignment horizontal="center" vertical="bottom"/>
    </xf>
    <xf borderId="0" fillId="27" fontId="11" numFmtId="0" xfId="0" applyAlignment="1" applyFont="1">
      <alignment horizontal="center" vertical="bottom"/>
    </xf>
    <xf borderId="0" fillId="4" fontId="11" numFmtId="0" xfId="0" applyAlignment="1" applyFont="1">
      <alignment vertical="bottom"/>
    </xf>
    <xf borderId="0" fillId="0" fontId="15" numFmtId="166" xfId="0" applyAlignment="1" applyFont="1" applyNumberFormat="1">
      <alignment horizontal="right" readingOrder="0"/>
    </xf>
    <xf borderId="1" fillId="29" fontId="11" numFmtId="0" xfId="0" applyAlignment="1" applyBorder="1" applyFont="1">
      <alignment horizontal="right" vertical="bottom"/>
    </xf>
    <xf borderId="8" fillId="29" fontId="11" numFmtId="166" xfId="0" applyAlignment="1" applyBorder="1" applyFont="1" applyNumberFormat="1">
      <alignment horizontal="center" vertical="bottom"/>
    </xf>
    <xf borderId="4" fillId="29" fontId="11" numFmtId="0" xfId="0" applyAlignment="1" applyBorder="1" applyFont="1">
      <alignment horizontal="center" vertical="bottom"/>
    </xf>
    <xf borderId="4" fillId="29" fontId="11" numFmtId="166" xfId="0" applyAlignment="1" applyBorder="1" applyFont="1" applyNumberFormat="1">
      <alignment horizontal="center" vertical="bottom"/>
    </xf>
    <xf borderId="0" fillId="20" fontId="11" numFmtId="166" xfId="0" applyAlignment="1" applyFont="1" applyNumberFormat="1">
      <alignment horizontal="right" vertical="bottom"/>
    </xf>
    <xf borderId="0" fillId="0" fontId="20" numFmtId="0" xfId="0" applyFont="1"/>
    <xf borderId="0" fillId="0" fontId="21" numFmtId="0" xfId="0" applyFont="1"/>
    <xf borderId="0" fillId="0" fontId="22" numFmtId="9" xfId="0" applyAlignment="1" applyFont="1" applyNumberFormat="1">
      <alignment readingOrder="0"/>
    </xf>
    <xf borderId="2" fillId="0" fontId="2" numFmtId="166" xfId="0" applyBorder="1" applyFont="1" applyNumberFormat="1"/>
    <xf borderId="0" fillId="0" fontId="22" numFmtId="9" xfId="0" applyFont="1" applyNumberFormat="1"/>
    <xf borderId="0" fillId="0" fontId="20" numFmtId="0" xfId="0" applyAlignment="1" applyFont="1">
      <alignment readingOrder="0"/>
    </xf>
    <xf borderId="0" fillId="0" fontId="21" numFmtId="10" xfId="0" applyAlignment="1" applyFont="1" applyNumberFormat="1">
      <alignment readingOrder="0"/>
    </xf>
    <xf borderId="2" fillId="3" fontId="23" numFmtId="0" xfId="0" applyAlignment="1" applyBorder="1" applyFont="1">
      <alignment horizontal="center" shrinkToFit="0" vertical="center" wrapText="1"/>
    </xf>
    <xf borderId="2" fillId="3" fontId="24" numFmtId="0" xfId="0" applyAlignment="1" applyBorder="1" applyFont="1">
      <alignment horizontal="center" shrinkToFit="0" vertical="center" wrapText="1"/>
    </xf>
    <xf borderId="2" fillId="3" fontId="24" numFmtId="0" xfId="0" applyAlignment="1" applyBorder="1" applyFont="1">
      <alignment horizontal="center" readingOrder="0" shrinkToFit="0" vertical="center" wrapText="1"/>
    </xf>
    <xf borderId="2" fillId="7" fontId="7" numFmtId="0" xfId="0" applyAlignment="1" applyBorder="1" applyFont="1">
      <alignment shrinkToFit="0" vertical="center" wrapText="1"/>
    </xf>
    <xf borderId="2" fillId="2" fontId="7" numFmtId="164" xfId="0" applyBorder="1" applyFont="1" applyNumberFormat="1"/>
    <xf borderId="2" fillId="7" fontId="7" numFmtId="164" xfId="0" applyBorder="1" applyFont="1" applyNumberFormat="1"/>
    <xf borderId="2" fillId="2" fontId="7" numFmtId="0" xfId="0" applyAlignment="1" applyBorder="1" applyFont="1">
      <alignment shrinkToFit="0" vertical="center" wrapText="1"/>
    </xf>
    <xf borderId="2" fillId="0" fontId="2" numFmtId="166" xfId="0" applyAlignment="1" applyBorder="1" applyFont="1" applyNumberFormat="1">
      <alignment readingOrder="0"/>
    </xf>
    <xf borderId="2" fillId="7" fontId="7" numFmtId="164" xfId="0" applyAlignment="1" applyBorder="1" applyFont="1" applyNumberFormat="1">
      <alignment readingOrder="0"/>
    </xf>
    <xf borderId="10" fillId="2" fontId="7" numFmtId="164" xfId="0" applyAlignment="1" applyBorder="1" applyFont="1" applyNumberFormat="1">
      <alignment readingOrder="0"/>
    </xf>
    <xf borderId="10" fillId="7" fontId="7" numFmtId="164" xfId="0" applyAlignment="1" applyBorder="1" applyFont="1" applyNumberFormat="1">
      <alignment readingOrder="0"/>
    </xf>
    <xf borderId="10" fillId="2" fontId="7" numFmtId="164" xfId="0" applyBorder="1" applyFont="1" applyNumberFormat="1"/>
    <xf borderId="0" fillId="0" fontId="15" numFmtId="0" xfId="0" applyAlignment="1" applyFont="1">
      <alignment readingOrder="0"/>
    </xf>
    <xf borderId="2" fillId="7" fontId="7" numFmtId="0" xfId="0" applyAlignment="1" applyBorder="1" applyFont="1">
      <alignment readingOrder="0" shrinkToFit="0" vertical="center" wrapText="1"/>
    </xf>
    <xf borderId="2" fillId="30" fontId="7" numFmtId="164" xfId="0" applyAlignment="1" applyBorder="1" applyFill="1" applyFont="1" applyNumberFormat="1">
      <alignment readingOrder="0"/>
    </xf>
    <xf borderId="2" fillId="30" fontId="7" numFmtId="164" xfId="0" applyBorder="1" applyFont="1" applyNumberFormat="1"/>
    <xf borderId="1" fillId="31" fontId="2" numFmtId="0" xfId="0" applyBorder="1" applyFill="1" applyFont="1"/>
    <xf borderId="2" fillId="0" fontId="7" numFmtId="0" xfId="0" applyAlignment="1" applyBorder="1" applyFont="1">
      <alignment shrinkToFit="0" vertical="center" wrapText="1"/>
    </xf>
    <xf borderId="2" fillId="32" fontId="7" numFmtId="0" xfId="0" applyAlignment="1" applyBorder="1" applyFill="1" applyFont="1">
      <alignment readingOrder="0" shrinkToFit="0" vertical="center" wrapText="1"/>
    </xf>
    <xf borderId="2" fillId="32" fontId="7" numFmtId="164" xfId="0" applyBorder="1" applyFont="1" applyNumberFormat="1"/>
    <xf borderId="10" fillId="32" fontId="7" numFmtId="164" xfId="0" applyAlignment="1" applyBorder="1" applyFont="1" applyNumberFormat="1">
      <alignment readingOrder="0"/>
    </xf>
    <xf borderId="2" fillId="0" fontId="7" numFmtId="0" xfId="0" applyAlignment="1" applyBorder="1" applyFont="1">
      <alignment readingOrder="0" shrinkToFit="0" vertical="center" wrapText="1"/>
    </xf>
    <xf borderId="0" fillId="0" fontId="6" numFmtId="9" xfId="0" applyAlignment="1" applyFont="1" applyNumberFormat="1">
      <alignment readingOrder="0"/>
    </xf>
    <xf borderId="0" fillId="0" fontId="25" numFmtId="0" xfId="0" applyAlignment="1" applyFont="1">
      <alignment readingOrder="0"/>
    </xf>
    <xf borderId="0" fillId="0" fontId="6" numFmtId="9" xfId="0" applyFont="1" applyNumberFormat="1"/>
    <xf borderId="2" fillId="3" fontId="6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/>
    </xf>
    <xf borderId="2" fillId="0" fontId="2" numFmtId="0" xfId="0" applyBorder="1" applyFont="1"/>
    <xf borderId="1" fillId="33" fontId="2" numFmtId="0" xfId="0" applyBorder="1" applyFill="1" applyFont="1"/>
    <xf borderId="0" fillId="0" fontId="2" numFmtId="165" xfId="0" applyFont="1" applyNumberFormat="1"/>
    <xf borderId="0" fillId="0" fontId="26" numFmtId="0" xfId="0" applyFont="1"/>
    <xf borderId="0" fillId="0" fontId="27" numFmtId="0" xfId="0" applyFont="1"/>
    <xf borderId="0" fillId="0" fontId="28" numFmtId="0" xfId="0" applyAlignment="1" applyFont="1">
      <alignment readingOrder="0"/>
    </xf>
    <xf borderId="1" fillId="33" fontId="27" numFmtId="0" xfId="0" applyBorder="1" applyFont="1"/>
    <xf borderId="0" fillId="0" fontId="25" numFmtId="0" xfId="0" applyFont="1"/>
    <xf borderId="0" fillId="0" fontId="22" numFmtId="0" xfId="0" applyFont="1"/>
    <xf borderId="0" fillId="0" fontId="1" numFmtId="0" xfId="0" applyAlignment="1" applyFont="1">
      <alignment readingOrder="0"/>
    </xf>
    <xf borderId="0" fillId="0" fontId="2" numFmtId="9" xfId="0" applyAlignment="1" applyFont="1" applyNumberFormat="1">
      <alignment horizontal="center"/>
    </xf>
    <xf borderId="0" fillId="0" fontId="6" numFmtId="9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shrinkToFit="0" vertical="center" wrapText="1"/>
    </xf>
    <xf borderId="2" fillId="13" fontId="5" numFmtId="0" xfId="0" applyAlignment="1" applyBorder="1" applyFont="1">
      <alignment horizontal="center" shrinkToFit="0" vertical="center" wrapText="1"/>
    </xf>
    <xf borderId="2" fillId="13" fontId="29" numFmtId="0" xfId="0" applyAlignment="1" applyBorder="1" applyFont="1">
      <alignment horizontal="center" shrinkToFit="0" vertical="center" wrapText="1"/>
    </xf>
    <xf borderId="2" fillId="28" fontId="29" numFmtId="0" xfId="0" applyAlignment="1" applyBorder="1" applyFont="1">
      <alignment horizontal="center" readingOrder="0" shrinkToFit="0" vertical="center" wrapText="1"/>
    </xf>
    <xf borderId="2" fillId="3" fontId="29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5" numFmtId="164" xfId="0" applyAlignment="1" applyBorder="1" applyFont="1" applyNumberFormat="1">
      <alignment readingOrder="0"/>
    </xf>
    <xf borderId="2" fillId="0" fontId="25" numFmtId="164" xfId="0" applyBorder="1" applyFont="1" applyNumberFormat="1"/>
    <xf borderId="2" fillId="0" fontId="2" numFmtId="0" xfId="0" applyAlignment="1" applyBorder="1" applyFont="1">
      <alignment horizontal="left" readingOrder="0"/>
    </xf>
    <xf borderId="2" fillId="0" fontId="30" numFmtId="164" xfId="0" applyBorder="1" applyFont="1" applyNumberFormat="1"/>
    <xf borderId="2" fillId="0" fontId="2" numFmtId="0" xfId="0" applyAlignment="1" applyBorder="1" applyFont="1">
      <alignment readingOrder="0"/>
    </xf>
    <xf borderId="0" fillId="34" fontId="2" numFmtId="0" xfId="0" applyFill="1" applyFont="1"/>
    <xf borderId="0" fillId="28" fontId="31" numFmtId="0" xfId="0" applyAlignment="1" applyFont="1">
      <alignment horizontal="center" readingOrder="0"/>
    </xf>
    <xf borderId="0" fillId="0" fontId="32" numFmtId="0" xfId="0" applyFont="1"/>
    <xf borderId="0" fillId="22" fontId="32" numFmtId="0" xfId="0" applyAlignment="1" applyFont="1">
      <alignment readingOrder="0"/>
    </xf>
    <xf borderId="0" fillId="22" fontId="32" numFmtId="166" xfId="0" applyAlignment="1" applyFont="1" applyNumberFormat="1">
      <alignment readingOrder="0"/>
    </xf>
    <xf borderId="0" fillId="0" fontId="33" numFmtId="0" xfId="0" applyAlignment="1" applyFont="1">
      <alignment horizontal="center" readingOrder="0"/>
    </xf>
    <xf borderId="0" fillId="0" fontId="18" numFmtId="166" xfId="0" applyAlignment="1" applyFont="1" applyNumberFormat="1">
      <alignment readingOrder="0"/>
    </xf>
    <xf borderId="0" fillId="0" fontId="34" numFmtId="166" xfId="0" applyAlignment="1" applyFont="1" applyNumberFormat="1">
      <alignment readingOrder="0"/>
    </xf>
    <xf borderId="11" fillId="0" fontId="33" numFmtId="0" xfId="0" applyAlignment="1" applyBorder="1" applyFont="1">
      <alignment horizontal="center" readingOrder="0"/>
    </xf>
    <xf borderId="11" fillId="0" fontId="18" numFmtId="0" xfId="0" applyAlignment="1" applyBorder="1" applyFont="1">
      <alignment readingOrder="0"/>
    </xf>
    <xf borderId="11" fillId="0" fontId="18" numFmtId="166" xfId="0" applyAlignment="1" applyBorder="1" applyFont="1" applyNumberFormat="1">
      <alignment readingOrder="0"/>
    </xf>
    <xf borderId="11" fillId="0" fontId="34" numFmtId="166" xfId="0" applyAlignment="1" applyBorder="1" applyFont="1" applyNumberFormat="1">
      <alignment readingOrder="0"/>
    </xf>
    <xf borderId="0" fillId="0" fontId="35" numFmtId="0" xfId="0" applyAlignment="1" applyFont="1">
      <alignment horizontal="center" vertical="bottom"/>
    </xf>
    <xf borderId="11" fillId="0" fontId="18" numFmtId="0" xfId="0" applyBorder="1" applyFont="1"/>
    <xf borderId="0" fillId="0" fontId="35" numFmtId="0" xfId="0" applyAlignment="1" applyFont="1">
      <alignment horizontal="center" readingOrder="0" vertical="bottom"/>
    </xf>
    <xf borderId="11" fillId="0" fontId="18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7.29"/>
    <col customWidth="1" min="2" max="2" width="12.43"/>
    <col customWidth="1" min="3" max="6" width="11.43"/>
    <col customWidth="1" min="7" max="8" width="12.43"/>
    <col customWidth="1" min="9" max="9" width="16.14"/>
    <col customWidth="1" min="10" max="10" width="15.29"/>
    <col customWidth="1" min="11" max="11" width="10.86"/>
    <col customWidth="1" min="12" max="13" width="12.0"/>
    <col customWidth="1" min="14" max="28" width="10.86"/>
  </cols>
  <sheetData>
    <row r="1" ht="19.5" customHeight="1">
      <c r="A1" s="1" t="s">
        <v>0</v>
      </c>
      <c r="B1" s="2"/>
      <c r="C1" s="3"/>
      <c r="D1" s="3"/>
      <c r="E1" s="3"/>
      <c r="F1" s="3"/>
      <c r="G1" s="4"/>
      <c r="H1" s="5"/>
      <c r="I1" s="3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2.75" customHeight="1">
      <c r="A2" s="6" t="s">
        <v>2</v>
      </c>
      <c r="B2" s="2"/>
      <c r="C2" s="3"/>
      <c r="D2" s="3"/>
      <c r="E2" s="3"/>
      <c r="F2" s="3"/>
      <c r="G2" s="4"/>
      <c r="H2" s="5">
        <v>0.35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.75" customHeight="1">
      <c r="A3" s="7"/>
      <c r="B3" s="2"/>
      <c r="C3" s="3"/>
      <c r="D3" s="3"/>
      <c r="E3" s="3"/>
      <c r="F3" s="3"/>
      <c r="G3" s="4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2.75" customHeight="1">
      <c r="A4" s="7" t="str">
        <f>Delgado!A3</f>
        <v>Valores actualizados al mes de ABRIL2026</v>
      </c>
      <c r="B4" s="2"/>
      <c r="C4" s="3"/>
      <c r="D4" s="3"/>
      <c r="E4" s="3"/>
      <c r="F4" s="8">
        <v>0.05</v>
      </c>
      <c r="G4" s="4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39.0" customHeight="1">
      <c r="A5" s="9" t="s">
        <v>3</v>
      </c>
      <c r="B5" s="10" t="s">
        <v>4</v>
      </c>
      <c r="C5" s="11" t="s">
        <v>5</v>
      </c>
      <c r="D5" s="9" t="s">
        <v>6</v>
      </c>
      <c r="E5" s="9" t="s">
        <v>7</v>
      </c>
      <c r="F5" s="9" t="s">
        <v>8</v>
      </c>
      <c r="G5" s="11" t="s">
        <v>9</v>
      </c>
      <c r="H5" s="9" t="s">
        <v>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2.75" customHeight="1">
      <c r="A6" s="12" t="s">
        <v>11</v>
      </c>
      <c r="B6" s="13">
        <v>607684.0</v>
      </c>
      <c r="C6" s="13" t="s">
        <v>12</v>
      </c>
      <c r="D6" s="13">
        <v>20000.0</v>
      </c>
      <c r="E6" s="14"/>
      <c r="F6" s="14">
        <f t="shared" ref="F6:F46" si="1">B6*($F$4)</f>
        <v>30384.2</v>
      </c>
      <c r="G6" s="14"/>
      <c r="H6" s="14">
        <f t="shared" ref="H6:H46" si="2">+SUM(B6:F6)*(1+$H$2)</f>
        <v>888392.07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2.75" customHeight="1">
      <c r="A7" s="15" t="s">
        <v>13</v>
      </c>
      <c r="B7" s="16">
        <v>193701.96</v>
      </c>
      <c r="C7" s="17" t="s">
        <v>14</v>
      </c>
      <c r="D7" s="16">
        <v>20000.0</v>
      </c>
      <c r="E7" s="17">
        <v>0.0</v>
      </c>
      <c r="F7" s="17">
        <f t="shared" si="1"/>
        <v>9685.098</v>
      </c>
      <c r="G7" s="17"/>
      <c r="H7" s="17">
        <f t="shared" si="2"/>
        <v>301572.5283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2.75" customHeight="1">
      <c r="A8" s="12" t="s">
        <v>15</v>
      </c>
      <c r="B8" s="13">
        <v>204016.0</v>
      </c>
      <c r="C8" s="13" t="s">
        <v>16</v>
      </c>
      <c r="D8" s="13">
        <v>20000.0</v>
      </c>
      <c r="E8" s="14">
        <v>0.0</v>
      </c>
      <c r="F8" s="14">
        <f t="shared" si="1"/>
        <v>10200.8</v>
      </c>
      <c r="G8" s="14"/>
      <c r="H8" s="14">
        <f t="shared" si="2"/>
        <v>316192.68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2.75" customHeight="1">
      <c r="A9" s="18" t="s">
        <v>17</v>
      </c>
      <c r="B9" s="19">
        <v>299909.0</v>
      </c>
      <c r="C9" s="20" t="s">
        <v>18</v>
      </c>
      <c r="D9" s="16">
        <v>20000.0</v>
      </c>
      <c r="E9" s="20">
        <v>0.0</v>
      </c>
      <c r="F9" s="20">
        <f t="shared" si="1"/>
        <v>14995.45</v>
      </c>
      <c r="G9" s="20"/>
      <c r="H9" s="20">
        <f t="shared" si="2"/>
        <v>452121.0075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2.75" customHeight="1">
      <c r="A10" s="18" t="s">
        <v>19</v>
      </c>
      <c r="B10" s="19">
        <v>159424.52</v>
      </c>
      <c r="C10" s="20" t="s">
        <v>16</v>
      </c>
      <c r="D10" s="16">
        <v>20000.0</v>
      </c>
      <c r="E10" s="20">
        <v>0.0</v>
      </c>
      <c r="F10" s="20">
        <f t="shared" si="1"/>
        <v>7971.226</v>
      </c>
      <c r="G10" s="20"/>
      <c r="H10" s="20">
        <f t="shared" si="2"/>
        <v>252984.2571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2.75" customHeight="1">
      <c r="A11" s="18" t="s">
        <v>20</v>
      </c>
      <c r="B11" s="20">
        <f>52311*1.1</f>
        <v>57542.1</v>
      </c>
      <c r="C11" s="20" t="s">
        <v>21</v>
      </c>
      <c r="D11" s="16">
        <v>20000.0</v>
      </c>
      <c r="E11" s="20">
        <v>0.0</v>
      </c>
      <c r="F11" s="20">
        <f t="shared" si="1"/>
        <v>2877.105</v>
      </c>
      <c r="G11" s="20"/>
      <c r="H11" s="20">
        <f t="shared" si="2"/>
        <v>108565.9268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2.75" customHeight="1">
      <c r="A12" s="18" t="s">
        <v>22</v>
      </c>
      <c r="B12" s="19">
        <v>55980.31</v>
      </c>
      <c r="C12" s="20" t="s">
        <v>23</v>
      </c>
      <c r="D12" s="16">
        <v>20000.0</v>
      </c>
      <c r="E12" s="20">
        <v>0.0</v>
      </c>
      <c r="F12" s="20">
        <f t="shared" si="1"/>
        <v>2799.0155</v>
      </c>
      <c r="G12" s="20"/>
      <c r="H12" s="20">
        <f t="shared" si="2"/>
        <v>106352.0894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2.75" customHeight="1">
      <c r="A13" s="18" t="s">
        <v>24</v>
      </c>
      <c r="B13" s="19">
        <v>163503.0</v>
      </c>
      <c r="C13" s="20" t="s">
        <v>18</v>
      </c>
      <c r="D13" s="20">
        <v>20000.0</v>
      </c>
      <c r="E13" s="20">
        <v>0.0</v>
      </c>
      <c r="F13" s="20">
        <f t="shared" si="1"/>
        <v>8175.15</v>
      </c>
      <c r="G13" s="20"/>
      <c r="H13" s="20">
        <f t="shared" si="2"/>
        <v>258765.5025</v>
      </c>
      <c r="I13" s="3"/>
      <c r="J13" s="2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2.75" customHeight="1">
      <c r="A14" s="18" t="s">
        <v>25</v>
      </c>
      <c r="B14" s="20">
        <v>5290.0</v>
      </c>
      <c r="C14" s="20" t="s">
        <v>26</v>
      </c>
      <c r="D14" s="19">
        <v>5000.0</v>
      </c>
      <c r="E14" s="20">
        <v>0.0</v>
      </c>
      <c r="F14" s="20">
        <f t="shared" si="1"/>
        <v>264.5</v>
      </c>
      <c r="G14" s="20"/>
      <c r="H14" s="20">
        <f t="shared" si="2"/>
        <v>14248.575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2.75" customHeight="1">
      <c r="A15" s="18" t="s">
        <v>27</v>
      </c>
      <c r="B15" s="20">
        <v>67986.0</v>
      </c>
      <c r="C15" s="22" t="s">
        <v>18</v>
      </c>
      <c r="D15" s="20">
        <v>20000.0</v>
      </c>
      <c r="E15" s="20">
        <v>0.0</v>
      </c>
      <c r="F15" s="20">
        <f t="shared" si="1"/>
        <v>3399.3</v>
      </c>
      <c r="G15" s="20"/>
      <c r="H15" s="20">
        <f t="shared" si="2"/>
        <v>123370.155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2.75" customHeight="1">
      <c r="A16" s="18" t="s">
        <v>28</v>
      </c>
      <c r="B16" s="19">
        <v>780938.78</v>
      </c>
      <c r="C16" s="22" t="s">
        <v>23</v>
      </c>
      <c r="D16" s="20">
        <v>20000.0</v>
      </c>
      <c r="E16" s="20">
        <v>0.0</v>
      </c>
      <c r="F16" s="20">
        <f t="shared" si="1"/>
        <v>39046.939</v>
      </c>
      <c r="G16" s="20"/>
      <c r="H16" s="20">
        <f t="shared" si="2"/>
        <v>1133980.721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2.75" customHeight="1">
      <c r="A17" s="18" t="s">
        <v>29</v>
      </c>
      <c r="B17" s="23">
        <v>297460.0</v>
      </c>
      <c r="C17" s="20" t="s">
        <v>12</v>
      </c>
      <c r="D17" s="20">
        <v>20000.0</v>
      </c>
      <c r="E17" s="20">
        <v>0.0</v>
      </c>
      <c r="F17" s="20">
        <f t="shared" si="1"/>
        <v>14873</v>
      </c>
      <c r="G17" s="20"/>
      <c r="H17" s="20">
        <f t="shared" si="2"/>
        <v>448649.55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2.75" customHeight="1">
      <c r="A18" s="18" t="s">
        <v>30</v>
      </c>
      <c r="B18" s="19">
        <v>394294.45</v>
      </c>
      <c r="C18" s="20" t="s">
        <v>14</v>
      </c>
      <c r="D18" s="20">
        <v>20000.0</v>
      </c>
      <c r="E18" s="20">
        <v>0.0</v>
      </c>
      <c r="F18" s="20">
        <f t="shared" si="1"/>
        <v>19714.7225</v>
      </c>
      <c r="G18" s="20"/>
      <c r="H18" s="20">
        <f t="shared" si="2"/>
        <v>585912.3829</v>
      </c>
      <c r="I18" s="6" t="s">
        <v>31</v>
      </c>
      <c r="J18" s="6" t="s">
        <v>32</v>
      </c>
      <c r="K18" s="6" t="s">
        <v>18</v>
      </c>
      <c r="L18" s="6" t="s">
        <v>33</v>
      </c>
      <c r="M18" s="3"/>
      <c r="N18" s="6" t="s">
        <v>34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2.75" customHeight="1">
      <c r="A19" s="24" t="s">
        <v>35</v>
      </c>
      <c r="B19" s="25">
        <v>250566.0</v>
      </c>
      <c r="C19" s="25" t="s">
        <v>18</v>
      </c>
      <c r="D19" s="25">
        <v>20000.0</v>
      </c>
      <c r="E19" s="26">
        <v>0.0</v>
      </c>
      <c r="F19" s="26">
        <f t="shared" si="1"/>
        <v>12528.3</v>
      </c>
      <c r="G19" s="25">
        <v>421500.0</v>
      </c>
      <c r="H19" s="26">
        <f t="shared" si="2"/>
        <v>382177.305</v>
      </c>
      <c r="I19" s="27">
        <f t="shared" ref="I19:I21" si="3">H19*0.98</f>
        <v>374533.7589</v>
      </c>
      <c r="J19" s="26">
        <f t="shared" ref="J19:J21" si="4">I19-L19</f>
        <v>44810.0089</v>
      </c>
      <c r="K19" s="26">
        <f t="shared" ref="K19:K21" si="5">I19-B19</f>
        <v>123967.7589</v>
      </c>
      <c r="L19" s="26">
        <f>329723.75</f>
        <v>329723.75</v>
      </c>
      <c r="M19" s="21">
        <f t="shared" ref="M19:M21" si="6">I19/B19-1</f>
        <v>0.4947509195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2.75" customHeight="1">
      <c r="A20" s="24" t="s">
        <v>36</v>
      </c>
      <c r="B20" s="25">
        <v>90683.77</v>
      </c>
      <c r="C20" s="25" t="s">
        <v>32</v>
      </c>
      <c r="D20" s="25">
        <v>5000.0</v>
      </c>
      <c r="E20" s="26">
        <v>0.0</v>
      </c>
      <c r="F20" s="26">
        <f t="shared" si="1"/>
        <v>4534.1885</v>
      </c>
      <c r="G20" s="25"/>
      <c r="H20" s="26">
        <f t="shared" si="2"/>
        <v>135294.244</v>
      </c>
      <c r="I20" s="27">
        <f t="shared" si="3"/>
        <v>132588.3591</v>
      </c>
      <c r="J20" s="26">
        <f t="shared" si="4"/>
        <v>41904.5891</v>
      </c>
      <c r="K20" s="26">
        <f t="shared" si="5"/>
        <v>41904.5891</v>
      </c>
      <c r="L20" s="26">
        <v>90683.77</v>
      </c>
      <c r="M20" s="21">
        <f t="shared" si="6"/>
        <v>0.4620957983</v>
      </c>
      <c r="N20" s="6">
        <v>77000.0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2.75" customHeight="1">
      <c r="A21" s="24" t="s">
        <v>37</v>
      </c>
      <c r="B21" s="25">
        <v>90683.77</v>
      </c>
      <c r="C21" s="25" t="s">
        <v>32</v>
      </c>
      <c r="D21" s="25">
        <v>5000.0</v>
      </c>
      <c r="E21" s="26">
        <v>0.0</v>
      </c>
      <c r="F21" s="26">
        <f t="shared" si="1"/>
        <v>4534.1885</v>
      </c>
      <c r="G21" s="25"/>
      <c r="H21" s="26">
        <f t="shared" si="2"/>
        <v>135294.244</v>
      </c>
      <c r="I21" s="27">
        <f t="shared" si="3"/>
        <v>132588.3591</v>
      </c>
      <c r="J21" s="26">
        <f t="shared" si="4"/>
        <v>41904.5891</v>
      </c>
      <c r="K21" s="26">
        <f t="shared" si="5"/>
        <v>41904.5891</v>
      </c>
      <c r="L21" s="25">
        <v>90683.77</v>
      </c>
      <c r="M21" s="21">
        <f t="shared" si="6"/>
        <v>0.4620957983</v>
      </c>
      <c r="N21" s="6">
        <v>87450.0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2.75" customHeight="1">
      <c r="A22" s="18" t="s">
        <v>38</v>
      </c>
      <c r="B22" s="20">
        <v>414960.0</v>
      </c>
      <c r="C22" s="20" t="s">
        <v>39</v>
      </c>
      <c r="D22" s="19">
        <v>5000.0</v>
      </c>
      <c r="E22" s="20">
        <v>0.0</v>
      </c>
      <c r="F22" s="20">
        <f t="shared" si="1"/>
        <v>20748</v>
      </c>
      <c r="G22" s="20"/>
      <c r="H22" s="20">
        <f t="shared" si="2"/>
        <v>594955.8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2.75" customHeight="1">
      <c r="A23" s="18" t="s">
        <v>40</v>
      </c>
      <c r="B23" s="20">
        <v>4071.58</v>
      </c>
      <c r="C23" s="20" t="s">
        <v>41</v>
      </c>
      <c r="D23" s="19">
        <v>5000.0</v>
      </c>
      <c r="E23" s="20">
        <v>0.0</v>
      </c>
      <c r="F23" s="20">
        <f t="shared" si="1"/>
        <v>203.579</v>
      </c>
      <c r="G23" s="20"/>
      <c r="H23" s="20">
        <f t="shared" si="2"/>
        <v>12521.46465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2.75" customHeight="1">
      <c r="A24" s="18" t="s">
        <v>42</v>
      </c>
      <c r="B24" s="19">
        <v>5425.11</v>
      </c>
      <c r="C24" s="20" t="s">
        <v>23</v>
      </c>
      <c r="D24" s="20">
        <v>20000.0</v>
      </c>
      <c r="E24" s="20">
        <v>0.0</v>
      </c>
      <c r="F24" s="20">
        <f t="shared" si="1"/>
        <v>271.2555</v>
      </c>
      <c r="G24" s="20"/>
      <c r="H24" s="20">
        <f t="shared" si="2"/>
        <v>34690.09343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2.75" customHeight="1">
      <c r="A25" s="18" t="s">
        <v>43</v>
      </c>
      <c r="B25" s="19">
        <v>80298.52</v>
      </c>
      <c r="C25" s="20" t="s">
        <v>23</v>
      </c>
      <c r="D25" s="20">
        <v>20000.0</v>
      </c>
      <c r="E25" s="20">
        <v>0.0</v>
      </c>
      <c r="F25" s="20">
        <f t="shared" si="1"/>
        <v>4014.926</v>
      </c>
      <c r="G25" s="20"/>
      <c r="H25" s="20">
        <f t="shared" si="2"/>
        <v>140823.1521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2.75" customHeight="1">
      <c r="A26" s="18" t="s">
        <v>44</v>
      </c>
      <c r="B26" s="20">
        <v>145308.0</v>
      </c>
      <c r="C26" s="20" t="s">
        <v>18</v>
      </c>
      <c r="D26" s="20">
        <v>20000.0</v>
      </c>
      <c r="E26" s="20">
        <v>0.0</v>
      </c>
      <c r="F26" s="20">
        <f t="shared" si="1"/>
        <v>7265.4</v>
      </c>
      <c r="G26" s="20"/>
      <c r="H26" s="20">
        <f t="shared" si="2"/>
        <v>232974.09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2.75" customHeight="1">
      <c r="A27" s="18" t="s">
        <v>45</v>
      </c>
      <c r="B27" s="20">
        <v>45226.19</v>
      </c>
      <c r="C27" s="20" t="s">
        <v>23</v>
      </c>
      <c r="D27" s="20">
        <v>20000.0</v>
      </c>
      <c r="E27" s="20">
        <v>0.0</v>
      </c>
      <c r="F27" s="20">
        <f t="shared" si="1"/>
        <v>2261.3095</v>
      </c>
      <c r="G27" s="20"/>
      <c r="H27" s="20">
        <f t="shared" si="2"/>
        <v>91108.12433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2.75" customHeight="1">
      <c r="A28" s="18" t="s">
        <v>46</v>
      </c>
      <c r="B28" s="19">
        <v>30542.33</v>
      </c>
      <c r="C28" s="20" t="s">
        <v>14</v>
      </c>
      <c r="D28" s="20">
        <v>20000.0</v>
      </c>
      <c r="E28" s="20">
        <v>0.0</v>
      </c>
      <c r="F28" s="20">
        <f t="shared" si="1"/>
        <v>1527.1165</v>
      </c>
      <c r="G28" s="20"/>
      <c r="H28" s="20">
        <f t="shared" si="2"/>
        <v>70293.75278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2.75" customHeight="1">
      <c r="A29" s="18" t="s">
        <v>47</v>
      </c>
      <c r="B29" s="20">
        <v>89361.83</v>
      </c>
      <c r="C29" s="20" t="s">
        <v>16</v>
      </c>
      <c r="D29" s="20">
        <v>20000.0</v>
      </c>
      <c r="E29" s="20">
        <v>0.0</v>
      </c>
      <c r="F29" s="20">
        <f t="shared" si="1"/>
        <v>4468.0915</v>
      </c>
      <c r="G29" s="20"/>
      <c r="H29" s="20">
        <f t="shared" si="2"/>
        <v>153670.394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2.75" customHeight="1">
      <c r="A30" s="18" t="s">
        <v>48</v>
      </c>
      <c r="B30" s="20">
        <v>10201.14</v>
      </c>
      <c r="C30" s="20" t="s">
        <v>49</v>
      </c>
      <c r="D30" s="20">
        <v>20000.0</v>
      </c>
      <c r="E30" s="20">
        <v>0.0</v>
      </c>
      <c r="F30" s="20">
        <f t="shared" si="1"/>
        <v>510.057</v>
      </c>
      <c r="G30" s="20"/>
      <c r="H30" s="20">
        <f t="shared" si="2"/>
        <v>41460.11595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2.75" customHeight="1">
      <c r="A31" s="18" t="s">
        <v>50</v>
      </c>
      <c r="B31" s="20">
        <v>15392.0</v>
      </c>
      <c r="C31" s="20" t="s">
        <v>18</v>
      </c>
      <c r="D31" s="20">
        <v>20000.0</v>
      </c>
      <c r="E31" s="20">
        <v>0.0</v>
      </c>
      <c r="F31" s="20">
        <f t="shared" si="1"/>
        <v>769.6</v>
      </c>
      <c r="G31" s="20"/>
      <c r="H31" s="20">
        <f t="shared" si="2"/>
        <v>48818.16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2.75" customHeight="1">
      <c r="A32" s="18" t="s">
        <v>51</v>
      </c>
      <c r="B32" s="20">
        <v>337405.0</v>
      </c>
      <c r="C32" s="20" t="s">
        <v>18</v>
      </c>
      <c r="D32" s="20">
        <v>20000.0</v>
      </c>
      <c r="E32" s="20">
        <v>0.0</v>
      </c>
      <c r="F32" s="20">
        <f t="shared" si="1"/>
        <v>16870.25</v>
      </c>
      <c r="G32" s="20"/>
      <c r="H32" s="20">
        <f t="shared" si="2"/>
        <v>505271.5875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2.75" customHeight="1">
      <c r="A33" s="28" t="s">
        <v>52</v>
      </c>
      <c r="B33" s="29">
        <v>1259832.0</v>
      </c>
      <c r="C33" s="30" t="s">
        <v>18</v>
      </c>
      <c r="D33" s="30">
        <v>20000.0</v>
      </c>
      <c r="E33" s="30">
        <v>0.0</v>
      </c>
      <c r="F33" s="30">
        <f t="shared" si="1"/>
        <v>62991.6</v>
      </c>
      <c r="G33" s="30"/>
      <c r="H33" s="30">
        <f t="shared" si="2"/>
        <v>1812811.86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2.75" customHeight="1">
      <c r="A34" s="31" t="s">
        <v>53</v>
      </c>
      <c r="B34" s="32">
        <v>694000.0</v>
      </c>
      <c r="C34" s="33" t="s">
        <v>18</v>
      </c>
      <c r="D34" s="20">
        <v>20000.0</v>
      </c>
      <c r="E34" s="20">
        <v>0.0</v>
      </c>
      <c r="F34" s="20">
        <f t="shared" si="1"/>
        <v>34700</v>
      </c>
      <c r="G34" s="20"/>
      <c r="H34" s="20">
        <f t="shared" si="2"/>
        <v>1010745</v>
      </c>
      <c r="I34" s="6"/>
      <c r="J34" s="6"/>
      <c r="K34" s="3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2.75" customHeight="1">
      <c r="A35" s="35" t="s">
        <v>54</v>
      </c>
      <c r="B35" s="32">
        <v>3150000.0</v>
      </c>
      <c r="C35" s="33" t="s">
        <v>18</v>
      </c>
      <c r="D35" s="20">
        <v>20000.0</v>
      </c>
      <c r="E35" s="20">
        <v>0.0</v>
      </c>
      <c r="F35" s="20">
        <f t="shared" si="1"/>
        <v>157500</v>
      </c>
      <c r="G35" s="20"/>
      <c r="H35" s="20">
        <f t="shared" si="2"/>
        <v>4492125</v>
      </c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2.75" customHeight="1">
      <c r="A36" s="35" t="s">
        <v>55</v>
      </c>
      <c r="B36" s="32">
        <v>3150000.0</v>
      </c>
      <c r="C36" s="33" t="s">
        <v>18</v>
      </c>
      <c r="D36" s="20">
        <v>20000.0</v>
      </c>
      <c r="E36" s="20">
        <v>0.0</v>
      </c>
      <c r="F36" s="20">
        <f t="shared" si="1"/>
        <v>157500</v>
      </c>
      <c r="G36" s="20"/>
      <c r="H36" s="20">
        <f t="shared" si="2"/>
        <v>4492125</v>
      </c>
      <c r="I36" s="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2.75" customHeight="1">
      <c r="A37" s="35" t="s">
        <v>56</v>
      </c>
      <c r="B37" s="32">
        <v>259935.03</v>
      </c>
      <c r="C37" s="32" t="s">
        <v>57</v>
      </c>
      <c r="D37" s="20">
        <v>20000.0</v>
      </c>
      <c r="E37" s="20">
        <v>0.0</v>
      </c>
      <c r="F37" s="20">
        <f t="shared" si="1"/>
        <v>12996.7515</v>
      </c>
      <c r="G37" s="20"/>
      <c r="H37" s="20">
        <f t="shared" si="2"/>
        <v>395457.905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2.75" customHeight="1">
      <c r="A38" s="35" t="s">
        <v>56</v>
      </c>
      <c r="B38" s="32">
        <f>B37*1.02</f>
        <v>265133.7306</v>
      </c>
      <c r="C38" s="32" t="s">
        <v>57</v>
      </c>
      <c r="D38" s="20">
        <v>20000.0</v>
      </c>
      <c r="E38" s="20">
        <v>0.0</v>
      </c>
      <c r="F38" s="20">
        <f t="shared" si="1"/>
        <v>13256.68653</v>
      </c>
      <c r="G38" s="20"/>
      <c r="H38" s="20">
        <f t="shared" si="2"/>
        <v>402827.0631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2.75" customHeight="1">
      <c r="A39" s="35" t="s">
        <v>58</v>
      </c>
      <c r="B39" s="32">
        <v>272418.0</v>
      </c>
      <c r="C39" s="32" t="s">
        <v>18</v>
      </c>
      <c r="D39" s="20">
        <v>20000.0</v>
      </c>
      <c r="E39" s="20">
        <v>0.0</v>
      </c>
      <c r="F39" s="20">
        <f t="shared" si="1"/>
        <v>13620.9</v>
      </c>
      <c r="G39" s="20"/>
      <c r="H39" s="20">
        <f t="shared" si="2"/>
        <v>413152.515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2.75" customHeight="1">
      <c r="A40" s="35" t="s">
        <v>59</v>
      </c>
      <c r="B40" s="32">
        <v>19466.0</v>
      </c>
      <c r="C40" s="32" t="s">
        <v>18</v>
      </c>
      <c r="D40" s="20">
        <v>20000.0</v>
      </c>
      <c r="E40" s="20">
        <v>0.0</v>
      </c>
      <c r="F40" s="20">
        <f t="shared" si="1"/>
        <v>973.3</v>
      </c>
      <c r="G40" s="20"/>
      <c r="H40" s="20">
        <f t="shared" si="2"/>
        <v>54593.055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2.75" customHeight="1">
      <c r="A41" s="35" t="s">
        <v>60</v>
      </c>
      <c r="B41" s="32">
        <v>40486.0</v>
      </c>
      <c r="C41" s="32" t="s">
        <v>18</v>
      </c>
      <c r="D41" s="20">
        <v>20000.0</v>
      </c>
      <c r="E41" s="20">
        <v>0.0</v>
      </c>
      <c r="F41" s="20">
        <f t="shared" si="1"/>
        <v>2024.3</v>
      </c>
      <c r="G41" s="20"/>
      <c r="H41" s="20">
        <f t="shared" si="2"/>
        <v>84388.905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2.75" customHeight="1">
      <c r="A42" s="35" t="s">
        <v>61</v>
      </c>
      <c r="B42" s="32">
        <v>84266.69</v>
      </c>
      <c r="C42" s="32" t="s">
        <v>14</v>
      </c>
      <c r="D42" s="20">
        <v>20000.0</v>
      </c>
      <c r="E42" s="20">
        <v>0.0</v>
      </c>
      <c r="F42" s="20">
        <f t="shared" si="1"/>
        <v>4213.3345</v>
      </c>
      <c r="G42" s="20"/>
      <c r="H42" s="20">
        <f t="shared" si="2"/>
        <v>146448.0331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2.75" customHeight="1">
      <c r="A43" s="35" t="s">
        <v>62</v>
      </c>
      <c r="B43" s="32">
        <v>10743.0</v>
      </c>
      <c r="C43" s="32" t="s">
        <v>18</v>
      </c>
      <c r="D43" s="20">
        <v>20000.0</v>
      </c>
      <c r="E43" s="20">
        <v>0.0</v>
      </c>
      <c r="F43" s="20">
        <f t="shared" si="1"/>
        <v>537.15</v>
      </c>
      <c r="G43" s="20"/>
      <c r="H43" s="20">
        <f t="shared" si="2"/>
        <v>42228.2025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2.75" customHeight="1">
      <c r="A44" s="35" t="s">
        <v>63</v>
      </c>
      <c r="B44" s="32">
        <v>179871.0</v>
      </c>
      <c r="C44" s="32" t="s">
        <v>64</v>
      </c>
      <c r="D44" s="20">
        <v>20000.0</v>
      </c>
      <c r="E44" s="20">
        <v>0.0</v>
      </c>
      <c r="F44" s="20">
        <f t="shared" si="1"/>
        <v>8993.55</v>
      </c>
      <c r="G44" s="20"/>
      <c r="H44" s="20">
        <f t="shared" si="2"/>
        <v>281967.1425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2.75" customHeight="1">
      <c r="A45" s="37" t="s">
        <v>65</v>
      </c>
      <c r="B45" s="32">
        <v>26989.03</v>
      </c>
      <c r="C45" s="32" t="s">
        <v>66</v>
      </c>
      <c r="D45" s="20">
        <v>20000.0</v>
      </c>
      <c r="E45" s="20">
        <v>0.0</v>
      </c>
      <c r="F45" s="20">
        <f t="shared" si="1"/>
        <v>1349.4515</v>
      </c>
      <c r="G45" s="20"/>
      <c r="H45" s="20">
        <f t="shared" si="2"/>
        <v>65256.95003</v>
      </c>
      <c r="I45" s="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2.75" customHeight="1">
      <c r="A46" s="35" t="s">
        <v>67</v>
      </c>
      <c r="B46" s="32">
        <v>62727.0</v>
      </c>
      <c r="C46" s="32" t="s">
        <v>68</v>
      </c>
      <c r="D46" s="19">
        <v>5000.0</v>
      </c>
      <c r="E46" s="20">
        <v>0.0</v>
      </c>
      <c r="F46" s="20">
        <f t="shared" si="1"/>
        <v>3136.35</v>
      </c>
      <c r="G46" s="20"/>
      <c r="H46" s="20">
        <f t="shared" si="2"/>
        <v>95665.5225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2.75" customHeight="1">
      <c r="A47" s="35" t="s">
        <v>69</v>
      </c>
      <c r="B47" s="32">
        <v>570000.0</v>
      </c>
      <c r="C47" s="32" t="s">
        <v>18</v>
      </c>
      <c r="D47" s="32">
        <v>5000.0</v>
      </c>
      <c r="E47" s="33"/>
      <c r="F47" s="33">
        <f>+B47*0.05</f>
        <v>28500</v>
      </c>
      <c r="G47" s="33"/>
      <c r="H47" s="33">
        <f t="shared" ref="H47:H48" si="7">+SUM(B47:F47)*(1+$H$2)</f>
        <v>814725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2.75" customHeight="1">
      <c r="A48" s="35" t="s">
        <v>70</v>
      </c>
      <c r="B48" s="32">
        <v>35399.0</v>
      </c>
      <c r="C48" s="32" t="s">
        <v>18</v>
      </c>
      <c r="D48" s="32">
        <v>5000.0</v>
      </c>
      <c r="E48" s="33"/>
      <c r="F48" s="33">
        <f>+B48*0.1</f>
        <v>3539.9</v>
      </c>
      <c r="G48" s="33"/>
      <c r="H48" s="33">
        <f t="shared" si="7"/>
        <v>59317.515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2.75" customHeight="1">
      <c r="A49" s="35" t="s">
        <v>71</v>
      </c>
      <c r="B49" s="32">
        <v>102652.9</v>
      </c>
      <c r="C49" s="32" t="s">
        <v>16</v>
      </c>
      <c r="D49" s="20">
        <v>20000.0</v>
      </c>
      <c r="E49" s="20">
        <v>0.0</v>
      </c>
      <c r="F49" s="20">
        <f t="shared" ref="F49:F74" si="8">B49*($F$4)</f>
        <v>5132.645</v>
      </c>
      <c r="G49" s="20"/>
      <c r="H49" s="20">
        <f t="shared" ref="H49:H63" si="9">+SUM(B49:F49)*(1+$H$2)</f>
        <v>172510.4858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2.75" customHeight="1">
      <c r="A50" s="35" t="s">
        <v>72</v>
      </c>
      <c r="B50" s="32">
        <v>86684.0</v>
      </c>
      <c r="C50" s="32" t="s">
        <v>18</v>
      </c>
      <c r="D50" s="20">
        <v>20000.0</v>
      </c>
      <c r="E50" s="20">
        <v>0.0</v>
      </c>
      <c r="F50" s="20">
        <f t="shared" si="8"/>
        <v>4334.2</v>
      </c>
      <c r="G50" s="20"/>
      <c r="H50" s="20">
        <f t="shared" si="9"/>
        <v>149874.57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2.75" customHeight="1">
      <c r="A51" s="35" t="s">
        <v>73</v>
      </c>
      <c r="B51" s="32">
        <v>257898.0</v>
      </c>
      <c r="C51" s="32" t="s">
        <v>18</v>
      </c>
      <c r="D51" s="20">
        <v>20000.0</v>
      </c>
      <c r="E51" s="20">
        <v>0.0</v>
      </c>
      <c r="F51" s="20">
        <f t="shared" si="8"/>
        <v>12894.9</v>
      </c>
      <c r="G51" s="20"/>
      <c r="H51" s="20">
        <f t="shared" si="9"/>
        <v>392570.415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2.75" customHeight="1">
      <c r="A52" s="35" t="s">
        <v>74</v>
      </c>
      <c r="B52" s="32">
        <v>146218.8</v>
      </c>
      <c r="C52" s="32" t="s">
        <v>68</v>
      </c>
      <c r="D52" s="19">
        <v>5000.0</v>
      </c>
      <c r="E52" s="20">
        <v>0.0</v>
      </c>
      <c r="F52" s="20">
        <f t="shared" si="8"/>
        <v>7310.94</v>
      </c>
      <c r="G52" s="20"/>
      <c r="H52" s="20">
        <f t="shared" si="9"/>
        <v>214015.149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2.75" customHeight="1">
      <c r="A53" s="35" t="s">
        <v>75</v>
      </c>
      <c r="B53" s="32">
        <v>103486.14</v>
      </c>
      <c r="C53" s="32" t="s">
        <v>14</v>
      </c>
      <c r="D53" s="20">
        <v>20000.0</v>
      </c>
      <c r="E53" s="20">
        <v>0.0</v>
      </c>
      <c r="F53" s="20">
        <f t="shared" si="8"/>
        <v>5174.307</v>
      </c>
      <c r="G53" s="20"/>
      <c r="H53" s="20">
        <f t="shared" si="9"/>
        <v>173691.6035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2.75" customHeight="1">
      <c r="A54" s="35" t="s">
        <v>76</v>
      </c>
      <c r="B54" s="32">
        <v>57990.84</v>
      </c>
      <c r="C54" s="32" t="s">
        <v>14</v>
      </c>
      <c r="D54" s="20">
        <v>20000.0</v>
      </c>
      <c r="E54" s="20">
        <v>0.0</v>
      </c>
      <c r="F54" s="20">
        <f t="shared" si="8"/>
        <v>2899.542</v>
      </c>
      <c r="G54" s="20"/>
      <c r="H54" s="20">
        <f t="shared" si="9"/>
        <v>109202.0157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2.75" customHeight="1">
      <c r="A55" s="35" t="s">
        <v>77</v>
      </c>
      <c r="B55" s="32">
        <v>408803.0</v>
      </c>
      <c r="C55" s="32" t="s">
        <v>12</v>
      </c>
      <c r="D55" s="20">
        <v>20000.0</v>
      </c>
      <c r="E55" s="20">
        <v>0.0</v>
      </c>
      <c r="F55" s="20">
        <f t="shared" si="8"/>
        <v>20440.15</v>
      </c>
      <c r="G55" s="20"/>
      <c r="H55" s="20">
        <f t="shared" si="9"/>
        <v>606478.2525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2.75" customHeight="1">
      <c r="A56" s="35" t="s">
        <v>78</v>
      </c>
      <c r="B56" s="32">
        <v>458355.0</v>
      </c>
      <c r="C56" s="32" t="s">
        <v>12</v>
      </c>
      <c r="D56" s="20">
        <v>20000.0</v>
      </c>
      <c r="E56" s="20">
        <v>0.0</v>
      </c>
      <c r="F56" s="20">
        <f t="shared" si="8"/>
        <v>22917.75</v>
      </c>
      <c r="G56" s="20"/>
      <c r="H56" s="20">
        <f t="shared" si="9"/>
        <v>676718.2125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2.75" customHeight="1">
      <c r="A57" s="35" t="s">
        <v>79</v>
      </c>
      <c r="B57" s="32">
        <v>110849.0</v>
      </c>
      <c r="C57" s="32" t="s">
        <v>12</v>
      </c>
      <c r="D57" s="20">
        <v>20000.0</v>
      </c>
      <c r="E57" s="20">
        <v>0.0</v>
      </c>
      <c r="F57" s="20">
        <f t="shared" si="8"/>
        <v>5542.45</v>
      </c>
      <c r="G57" s="20"/>
      <c r="H57" s="20">
        <f t="shared" si="9"/>
        <v>184128.4575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2.75" customHeight="1">
      <c r="A58" s="35" t="s">
        <v>80</v>
      </c>
      <c r="B58" s="32">
        <v>110849.0</v>
      </c>
      <c r="C58" s="32" t="s">
        <v>12</v>
      </c>
      <c r="D58" s="20">
        <v>20000.0</v>
      </c>
      <c r="E58" s="20">
        <v>0.0</v>
      </c>
      <c r="F58" s="20">
        <f t="shared" si="8"/>
        <v>5542.45</v>
      </c>
      <c r="G58" s="20"/>
      <c r="H58" s="20">
        <f t="shared" si="9"/>
        <v>184128.4575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2.75" customHeight="1">
      <c r="A59" s="35" t="s">
        <v>81</v>
      </c>
      <c r="B59" s="32">
        <v>110849.0</v>
      </c>
      <c r="C59" s="32" t="s">
        <v>12</v>
      </c>
      <c r="D59" s="20">
        <v>20000.0</v>
      </c>
      <c r="E59" s="20">
        <v>0.0</v>
      </c>
      <c r="F59" s="20">
        <f t="shared" si="8"/>
        <v>5542.45</v>
      </c>
      <c r="G59" s="20"/>
      <c r="H59" s="20">
        <f t="shared" si="9"/>
        <v>184128.4575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2.75" customHeight="1">
      <c r="A60" s="35" t="s">
        <v>82</v>
      </c>
      <c r="B60" s="32">
        <v>180550.0</v>
      </c>
      <c r="C60" s="32" t="s">
        <v>39</v>
      </c>
      <c r="D60" s="19">
        <v>5000.0</v>
      </c>
      <c r="E60" s="20">
        <v>0.0</v>
      </c>
      <c r="F60" s="20">
        <f t="shared" si="8"/>
        <v>9027.5</v>
      </c>
      <c r="G60" s="20"/>
      <c r="H60" s="20">
        <f t="shared" si="9"/>
        <v>262679.625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2.75" customHeight="1">
      <c r="A61" s="38" t="s">
        <v>83</v>
      </c>
      <c r="B61" s="32">
        <v>170676.33</v>
      </c>
      <c r="C61" s="32" t="s">
        <v>16</v>
      </c>
      <c r="D61" s="20">
        <v>20000.0</v>
      </c>
      <c r="E61" s="20">
        <v>0.0</v>
      </c>
      <c r="F61" s="20">
        <f t="shared" si="8"/>
        <v>8533.8165</v>
      </c>
      <c r="G61" s="20"/>
      <c r="H61" s="20">
        <f t="shared" si="9"/>
        <v>268933.6978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2.75" customHeight="1">
      <c r="A62" s="39" t="s">
        <v>84</v>
      </c>
      <c r="B62" s="32">
        <v>199692.0</v>
      </c>
      <c r="C62" s="32" t="s">
        <v>18</v>
      </c>
      <c r="D62" s="20">
        <v>20000.0</v>
      </c>
      <c r="E62" s="20">
        <v>0.0</v>
      </c>
      <c r="F62" s="20">
        <f t="shared" si="8"/>
        <v>9984.6</v>
      </c>
      <c r="G62" s="20"/>
      <c r="H62" s="20">
        <f t="shared" si="9"/>
        <v>310063.41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2.75" customHeight="1">
      <c r="A63" s="35" t="s">
        <v>85</v>
      </c>
      <c r="B63" s="32">
        <v>9800.0</v>
      </c>
      <c r="C63" s="32" t="s">
        <v>86</v>
      </c>
      <c r="D63" s="19">
        <v>5000.0</v>
      </c>
      <c r="E63" s="20"/>
      <c r="F63" s="20">
        <f t="shared" si="8"/>
        <v>490</v>
      </c>
      <c r="G63" s="20"/>
      <c r="H63" s="20">
        <f t="shared" si="9"/>
        <v>20641.5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2.75" customHeight="1">
      <c r="A64" s="35" t="s">
        <v>87</v>
      </c>
      <c r="B64" s="32">
        <v>1559.7</v>
      </c>
      <c r="C64" s="32" t="s">
        <v>14</v>
      </c>
      <c r="D64" s="19">
        <v>5000.0</v>
      </c>
      <c r="E64" s="20"/>
      <c r="F64" s="20">
        <f t="shared" si="8"/>
        <v>77.985</v>
      </c>
      <c r="G64" s="19">
        <v>14050.0</v>
      </c>
      <c r="H64" s="20">
        <f>G64*0.9</f>
        <v>12645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2.75" customHeight="1">
      <c r="A65" s="35" t="s">
        <v>88</v>
      </c>
      <c r="B65" s="32">
        <v>24541.06</v>
      </c>
      <c r="C65" s="32" t="s">
        <v>14</v>
      </c>
      <c r="D65" s="19">
        <v>5000.0</v>
      </c>
      <c r="E65" s="20"/>
      <c r="F65" s="20">
        <f t="shared" si="8"/>
        <v>1227.053</v>
      </c>
      <c r="G65" s="20"/>
      <c r="H65" s="20">
        <f t="shared" ref="H65:H74" si="10">+SUM(B65:F65)*(1+$H$2)</f>
        <v>41536.95255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2.75" customHeight="1">
      <c r="A66" s="35" t="s">
        <v>89</v>
      </c>
      <c r="B66" s="32">
        <v>219644.09</v>
      </c>
      <c r="C66" s="32" t="s">
        <v>14</v>
      </c>
      <c r="D66" s="19">
        <v>5000.0</v>
      </c>
      <c r="E66" s="20"/>
      <c r="F66" s="20">
        <f t="shared" si="8"/>
        <v>10982.2045</v>
      </c>
      <c r="G66" s="20"/>
      <c r="H66" s="20">
        <f t="shared" si="10"/>
        <v>318095.4976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2.75" customHeight="1">
      <c r="A67" s="35" t="s">
        <v>90</v>
      </c>
      <c r="B67" s="32">
        <v>94877.56</v>
      </c>
      <c r="C67" s="32" t="s">
        <v>14</v>
      </c>
      <c r="D67" s="19">
        <v>5000.0</v>
      </c>
      <c r="E67" s="20"/>
      <c r="F67" s="20">
        <f t="shared" si="8"/>
        <v>4743.878</v>
      </c>
      <c r="G67" s="20"/>
      <c r="H67" s="20">
        <f t="shared" si="10"/>
        <v>141238.9413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2.75" customHeight="1">
      <c r="A68" s="35" t="s">
        <v>91</v>
      </c>
      <c r="B68" s="32">
        <v>224135.5</v>
      </c>
      <c r="C68" s="32" t="s">
        <v>14</v>
      </c>
      <c r="D68" s="19">
        <v>5000.0</v>
      </c>
      <c r="E68" s="20"/>
      <c r="F68" s="20">
        <f t="shared" si="8"/>
        <v>11206.775</v>
      </c>
      <c r="G68" s="20"/>
      <c r="H68" s="20">
        <f t="shared" si="10"/>
        <v>324462.0713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2.75" customHeight="1">
      <c r="A69" s="40" t="s">
        <v>92</v>
      </c>
      <c r="B69" s="32">
        <v>37980.82</v>
      </c>
      <c r="C69" s="32" t="s">
        <v>68</v>
      </c>
      <c r="D69" s="19">
        <v>5000.0</v>
      </c>
      <c r="E69" s="20"/>
      <c r="F69" s="20">
        <f t="shared" si="8"/>
        <v>1899.041</v>
      </c>
      <c r="G69" s="20"/>
      <c r="H69" s="20">
        <f t="shared" si="10"/>
        <v>60587.81235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2.75" customHeight="1">
      <c r="A70" s="41" t="s">
        <v>93</v>
      </c>
      <c r="B70" s="32">
        <v>45100.07</v>
      </c>
      <c r="C70" s="32" t="s">
        <v>68</v>
      </c>
      <c r="D70" s="32">
        <v>5000.0</v>
      </c>
      <c r="E70" s="33"/>
      <c r="F70" s="33">
        <f t="shared" si="8"/>
        <v>2255.0035</v>
      </c>
      <c r="G70" s="33"/>
      <c r="H70" s="20">
        <f t="shared" si="10"/>
        <v>70679.34923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2.75" customHeight="1">
      <c r="A71" s="41" t="s">
        <v>94</v>
      </c>
      <c r="B71" s="32">
        <v>136550.13</v>
      </c>
      <c r="C71" s="32" t="s">
        <v>49</v>
      </c>
      <c r="D71" s="32">
        <v>5000.0</v>
      </c>
      <c r="E71" s="33"/>
      <c r="F71" s="33">
        <f t="shared" si="8"/>
        <v>6827.5065</v>
      </c>
      <c r="G71" s="33"/>
      <c r="H71" s="20">
        <f t="shared" si="10"/>
        <v>200309.8093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2.75" customHeight="1">
      <c r="A72" s="41" t="s">
        <v>95</v>
      </c>
      <c r="B72" s="32">
        <v>109897.9</v>
      </c>
      <c r="C72" s="32" t="s">
        <v>96</v>
      </c>
      <c r="D72" s="32">
        <v>5000.0</v>
      </c>
      <c r="E72" s="33"/>
      <c r="F72" s="33">
        <f t="shared" si="8"/>
        <v>5494.895</v>
      </c>
      <c r="G72" s="33"/>
      <c r="H72" s="20">
        <f t="shared" si="10"/>
        <v>162530.2733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2.75" customHeight="1">
      <c r="A73" s="41" t="s">
        <v>97</v>
      </c>
      <c r="B73" s="32">
        <v>487632.0</v>
      </c>
      <c r="C73" s="32" t="s">
        <v>98</v>
      </c>
      <c r="D73" s="32">
        <v>5000.0</v>
      </c>
      <c r="E73" s="33"/>
      <c r="F73" s="33">
        <f t="shared" si="8"/>
        <v>24381.6</v>
      </c>
      <c r="G73" s="33"/>
      <c r="H73" s="20">
        <f t="shared" si="10"/>
        <v>697968.36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2.75" customHeight="1">
      <c r="A74" s="42" t="s">
        <v>99</v>
      </c>
      <c r="B74" s="32">
        <v>84000.39</v>
      </c>
      <c r="C74" s="32" t="s">
        <v>100</v>
      </c>
      <c r="D74" s="32">
        <v>5000.0</v>
      </c>
      <c r="E74" s="33"/>
      <c r="F74" s="33">
        <f t="shared" si="8"/>
        <v>4200.0195</v>
      </c>
      <c r="G74" s="33"/>
      <c r="H74" s="20">
        <f t="shared" si="10"/>
        <v>125820.5528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2.75" customHeight="1">
      <c r="A75" s="3"/>
      <c r="B75" s="4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2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2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2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2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2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2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2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2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2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2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2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2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2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2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2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2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2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2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2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2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2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2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2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2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2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2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2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2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2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2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2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2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2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2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2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2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2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2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2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2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2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2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2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2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2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2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2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2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2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2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2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2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2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2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2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2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2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2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2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2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2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2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2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2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2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2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2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2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2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2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2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2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2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2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2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2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2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2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2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2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2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2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2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2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2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2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2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2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2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2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2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2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2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2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2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2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2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2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2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2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2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2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2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2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2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2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2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2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2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2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2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2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2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2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2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2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2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2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2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2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2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2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2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2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2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2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2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2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2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2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2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2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2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2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2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2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2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2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2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2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2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2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2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2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2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2.7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2.75" customHeight="1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2.75" customHeight="1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2.75" customHeight="1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2.75" customHeight="1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2.75" customHeight="1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2.75" customHeight="1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2.75" customHeight="1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2.75" customHeight="1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2.75" customHeight="1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2.75" customHeight="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2.75" customHeight="1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2.75" customHeight="1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2.75" customHeight="1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2.75" customHeight="1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2.75" customHeight="1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2.75" customHeight="1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2.75" customHeight="1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2.75" customHeight="1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2.75" customHeight="1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2.75" customHeight="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2.75" customHeight="1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2.75" customHeight="1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2.75" customHeight="1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2.75" customHeight="1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2.75" customHeight="1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2.75" customHeight="1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2.75" customHeight="1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2.75" customHeight="1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2.75" customHeight="1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2.75" customHeight="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2.75" customHeight="1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2.75" customHeight="1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2.75" customHeight="1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2.75" customHeight="1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2.75" customHeight="1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2.75" customHeight="1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2.75" customHeight="1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2.75" customHeight="1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2.75" customHeight="1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2.75" customHeight="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2.75" customHeight="1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2.75" customHeight="1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2.75" customHeight="1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2.75" customHeight="1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2.75" customHeight="1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2.75" customHeight="1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2.75" customHeight="1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2.75" customHeight="1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2.75" customHeight="1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2.75" customHeight="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2.75" customHeight="1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2.75" customHeight="1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2.75" customHeight="1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2.75" customHeight="1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2.75" customHeight="1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2.75" customHeight="1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2.75" customHeight="1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2.75" customHeight="1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2.75" customHeight="1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2.75" customHeight="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2.75" customHeight="1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2.75" customHeight="1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2.75" customHeight="1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2.75" customHeight="1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2.75" customHeight="1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2.75" customHeight="1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2.75" customHeight="1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2.75" customHeight="1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2.75" customHeight="1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2.75" customHeight="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2.75" customHeight="1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2.75" customHeight="1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2.75" customHeight="1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2.75" customHeight="1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2.75" customHeight="1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2.75" customHeight="1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2.75" customHeight="1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2.75" customHeight="1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2.75" customHeight="1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2.75" customHeight="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2.75" customHeight="1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2.75" customHeight="1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2.75" customHeight="1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2.75" customHeight="1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2.75" customHeight="1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2.75" customHeight="1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2.75" customHeight="1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2.75" customHeight="1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2.75" customHeight="1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2.75" customHeight="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2.75" customHeight="1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2.75" customHeight="1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2.75" customHeight="1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2.75" customHeight="1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2.75" customHeight="1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2.75" customHeight="1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2.75" customHeight="1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2.75" customHeight="1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2.75" customHeight="1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2.75" customHeight="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2.75" customHeight="1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2.75" customHeight="1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2.75" customHeight="1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2.75" customHeight="1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2.75" customHeight="1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2.75" customHeight="1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2.75" customHeight="1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2.75" customHeight="1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2.75" customHeight="1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2.75" customHeight="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2.75" customHeight="1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2.75" customHeight="1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2.75" customHeight="1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2.75" customHeight="1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2.75" customHeight="1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2.75" customHeight="1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2.75" customHeight="1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2.75" customHeight="1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2.75" customHeight="1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2.75" customHeight="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2.75" customHeight="1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2.75" customHeight="1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2.75" customHeight="1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2.75" customHeight="1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2.75" customHeight="1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2.75" customHeight="1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2.75" customHeight="1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2.75" customHeight="1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2.75" customHeight="1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2.75" customHeight="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2.75" customHeight="1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2.75" customHeight="1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2.75" customHeight="1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2.75" customHeight="1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2.75" customHeight="1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2.75" customHeight="1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2.75" customHeight="1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2.75" customHeight="1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2.75" customHeight="1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2.75" customHeight="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2.75" customHeight="1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2.75" customHeight="1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2.75" customHeight="1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2.75" customHeight="1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2.75" customHeight="1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2.75" customHeight="1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2.75" customHeight="1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2.75" customHeight="1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2.75" customHeight="1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2.75" customHeight="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2.75" customHeight="1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2.75" customHeight="1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2.75" customHeight="1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2.75" customHeight="1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2.75" customHeight="1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2.75" customHeight="1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2.75" customHeight="1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2.75" customHeight="1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2.75" customHeight="1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2.75" customHeight="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2.75" customHeight="1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2.75" customHeight="1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2.75" customHeight="1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2.75" customHeight="1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2.75" customHeight="1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2.75" customHeight="1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2.75" customHeight="1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2.75" customHeight="1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2.75" customHeight="1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2.75" customHeight="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2.75" customHeight="1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2.75" customHeight="1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2.75" customHeight="1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2.75" customHeight="1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2.75" customHeight="1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2.75" customHeight="1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2.75" customHeight="1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2.75" customHeight="1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2.75" customHeight="1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2.75" customHeight="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2.75" customHeight="1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2.75" customHeight="1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2.75" customHeight="1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2.75" customHeight="1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2.75" customHeight="1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2.75" customHeight="1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2.75" customHeight="1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2.75" customHeight="1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2.75" customHeight="1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2.75" customHeight="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2.75" customHeight="1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2.75" customHeight="1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2.75" customHeight="1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2.75" customHeight="1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2.75" customHeight="1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2.75" customHeight="1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2.75" customHeight="1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2.75" customHeight="1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2.75" customHeight="1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2.75" customHeight="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2.75" customHeight="1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2.75" customHeight="1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2.75" customHeight="1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2.75" customHeight="1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2.75" customHeight="1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2.75" customHeight="1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2.75" customHeight="1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2.75" customHeight="1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2.75" customHeight="1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2.75" customHeight="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2.75" customHeight="1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2.75" customHeight="1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2.75" customHeight="1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2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2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2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2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2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2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2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2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2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2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2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2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2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2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2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2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2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2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2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2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2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2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2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2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2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2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2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2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2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2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2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2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2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2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2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2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2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2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2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2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2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2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2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2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2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2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2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2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2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2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2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2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2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2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2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2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2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2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2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2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2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2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2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2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2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2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2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2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2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2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2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2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2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2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2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2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2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2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2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2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2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2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2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2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2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2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2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2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2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2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2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2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2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2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2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2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2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2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2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2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2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2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2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2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2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2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2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2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2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2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2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2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2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2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2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2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2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2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2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2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2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2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2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2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2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2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2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2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2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2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2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2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2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2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2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2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2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2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2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2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2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2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2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2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2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2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2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2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2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2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2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2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2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2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2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2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2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2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2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2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2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2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2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2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2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2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2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2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2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2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2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2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2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2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2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2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2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2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2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2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2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2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2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2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2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2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2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2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2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2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2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2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2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2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2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2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2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2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2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2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2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2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2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2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2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2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2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2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2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2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2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2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2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2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2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2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2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2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2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2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2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2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2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2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2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2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2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2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2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2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2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2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2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2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2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2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2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2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2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2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2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2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2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2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2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2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2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2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2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2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2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2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2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2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2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2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2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2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2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2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2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2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2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2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2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2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2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2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2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2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2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2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2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2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2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2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2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2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2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2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2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2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2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2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2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2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2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2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2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2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2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2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2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2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2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2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2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2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2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2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2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2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2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2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2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2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2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2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2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2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2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2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2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2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2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2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2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2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2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2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2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2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2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2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2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2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2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2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2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2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2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2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2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2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2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2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2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2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2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2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2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2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2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2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2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2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2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2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2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2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2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2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2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2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2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2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2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2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2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2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2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2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2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2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2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2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2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2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2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2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2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2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2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2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2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2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2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2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2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2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2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2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2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2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2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2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2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2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2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2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2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2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2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2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2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2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2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2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2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2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2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2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2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2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2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2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2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2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2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2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2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2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2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2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2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2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2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2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2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2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2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2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2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2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2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2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2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2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2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2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2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2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2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2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2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2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2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2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2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2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2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2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2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2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2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2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2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2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2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2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2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2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2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2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2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2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2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2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2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2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2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2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2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2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2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2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2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2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2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2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2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2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2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2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2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2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2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2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2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2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2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2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2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2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2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2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2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2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2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2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2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2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2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2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2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2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2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2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2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2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2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2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2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2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2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2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2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2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2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2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2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2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2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2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2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2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2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2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2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2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2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2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2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86"/>
    <col customWidth="1" min="2" max="2" width="20.43"/>
    <col customWidth="1" min="3" max="4" width="11.43"/>
    <col customWidth="1" min="5" max="7" width="13.0"/>
    <col customWidth="1" min="8" max="9" width="13.86"/>
    <col customWidth="1" min="10" max="10" width="29.0"/>
    <col customWidth="1" min="11" max="11" width="12.29"/>
    <col customWidth="1" min="12" max="28" width="10.71"/>
  </cols>
  <sheetData>
    <row r="1" hidden="1">
      <c r="A1" s="44" t="s">
        <v>101</v>
      </c>
      <c r="B1" s="45"/>
      <c r="C1" s="46"/>
      <c r="D1" s="46"/>
      <c r="E1" s="45"/>
      <c r="F1" s="45"/>
      <c r="G1" s="47"/>
      <c r="H1" s="47" t="s">
        <v>102</v>
      </c>
      <c r="I1" s="48" t="s">
        <v>103</v>
      </c>
    </row>
    <row r="2" hidden="1">
      <c r="B2" s="49" t="s">
        <v>104</v>
      </c>
      <c r="C2" s="46"/>
      <c r="D2" s="46"/>
      <c r="E2" s="45"/>
      <c r="F2" s="45"/>
      <c r="G2" s="47"/>
      <c r="H2" s="47" t="s">
        <v>105</v>
      </c>
      <c r="I2" s="47" t="s">
        <v>106</v>
      </c>
    </row>
    <row r="3" hidden="1">
      <c r="A3" s="50" t="s">
        <v>107</v>
      </c>
      <c r="B3" s="49" t="s">
        <v>108</v>
      </c>
      <c r="C3" s="50"/>
      <c r="D3" s="50" t="s">
        <v>109</v>
      </c>
      <c r="E3" s="49" t="s">
        <v>110</v>
      </c>
      <c r="F3" s="49" t="s">
        <v>9</v>
      </c>
      <c r="G3" s="51"/>
      <c r="H3" s="51" t="s">
        <v>10</v>
      </c>
      <c r="I3" s="51" t="s">
        <v>111</v>
      </c>
      <c r="L3" s="52" t="s">
        <v>112</v>
      </c>
      <c r="M3" s="52">
        <v>450.0</v>
      </c>
    </row>
    <row r="4" hidden="1">
      <c r="A4" s="53" t="s">
        <v>113</v>
      </c>
      <c r="B4" s="45">
        <f>31384.55+6000</f>
        <v>37384.55</v>
      </c>
      <c r="C4" s="46"/>
      <c r="D4" s="46">
        <v>50.0</v>
      </c>
      <c r="E4" s="45">
        <f t="shared" ref="E4:E5" si="1">+D4*$M$3</f>
        <v>22500</v>
      </c>
      <c r="F4" s="45">
        <v>42500.0</v>
      </c>
      <c r="G4" s="54"/>
      <c r="H4" s="54">
        <f t="shared" ref="H4:H5" si="2">+F4*0.97</f>
        <v>41225</v>
      </c>
      <c r="I4" s="54">
        <f t="shared" ref="I4:I5" si="3">+(F4-E4)*$M$5</f>
        <v>18800</v>
      </c>
      <c r="L4" s="53" t="s">
        <v>114</v>
      </c>
      <c r="M4" s="55">
        <v>0.9</v>
      </c>
    </row>
    <row r="5" hidden="1">
      <c r="A5" s="53" t="s">
        <v>115</v>
      </c>
      <c r="B5" s="45">
        <f>39226.54+6000</f>
        <v>45226.54</v>
      </c>
      <c r="C5" s="46"/>
      <c r="D5" s="46">
        <v>50.0</v>
      </c>
      <c r="E5" s="45">
        <f t="shared" si="1"/>
        <v>22500</v>
      </c>
      <c r="F5" s="45">
        <v>42500.0</v>
      </c>
      <c r="G5" s="54"/>
      <c r="H5" s="54">
        <f t="shared" si="2"/>
        <v>41225</v>
      </c>
      <c r="I5" s="54">
        <f t="shared" si="3"/>
        <v>18800</v>
      </c>
      <c r="L5" s="53" t="s">
        <v>114</v>
      </c>
      <c r="M5" s="55">
        <v>0.94</v>
      </c>
    </row>
    <row r="6" hidden="1">
      <c r="B6" s="45"/>
      <c r="C6" s="46"/>
      <c r="D6" s="46"/>
      <c r="E6" s="45"/>
      <c r="F6" s="45"/>
      <c r="G6" s="56"/>
      <c r="H6" s="56">
        <f t="shared" ref="H6:I6" si="4">SUM(H4:H5)</f>
        <v>82450</v>
      </c>
      <c r="I6" s="56">
        <f t="shared" si="4"/>
        <v>37600</v>
      </c>
    </row>
    <row r="7" hidden="1">
      <c r="B7" s="45"/>
      <c r="C7" s="46"/>
      <c r="D7" s="46"/>
      <c r="E7" s="45"/>
      <c r="F7" s="45"/>
      <c r="G7" s="54"/>
      <c r="H7" s="54"/>
      <c r="I7" s="54"/>
    </row>
    <row r="8" hidden="1">
      <c r="A8" s="57" t="s">
        <v>116</v>
      </c>
      <c r="B8" s="49" t="s">
        <v>104</v>
      </c>
      <c r="C8" s="50"/>
      <c r="D8" s="50"/>
      <c r="E8" s="49"/>
      <c r="F8" s="49"/>
      <c r="G8" s="51"/>
      <c r="H8" s="51" t="s">
        <v>10</v>
      </c>
      <c r="I8" s="51"/>
    </row>
    <row r="9" hidden="1">
      <c r="A9" s="53" t="s">
        <v>113</v>
      </c>
      <c r="B9" s="45">
        <f>31384.55+6000</f>
        <v>37384.55</v>
      </c>
      <c r="C9" s="46"/>
      <c r="D9" s="46">
        <v>50.0</v>
      </c>
      <c r="E9" s="45">
        <f t="shared" ref="E9:E12" si="5">+D9*$M$3</f>
        <v>22500</v>
      </c>
      <c r="F9" s="45">
        <v>42500.0</v>
      </c>
      <c r="G9" s="54"/>
      <c r="H9" s="54">
        <f t="shared" ref="H9:H10" si="6">+F9*0.97</f>
        <v>41225</v>
      </c>
      <c r="I9" s="54">
        <f t="shared" ref="I9:I10" si="7">+(F9-E9)*$M$5</f>
        <v>18800</v>
      </c>
    </row>
    <row r="10" hidden="1">
      <c r="A10" s="53" t="s">
        <v>115</v>
      </c>
      <c r="B10" s="45">
        <f>39226.54+6000</f>
        <v>45226.54</v>
      </c>
      <c r="C10" s="46"/>
      <c r="D10" s="46">
        <v>50.0</v>
      </c>
      <c r="E10" s="45">
        <f t="shared" si="5"/>
        <v>22500</v>
      </c>
      <c r="F10" s="45">
        <v>42500.0</v>
      </c>
      <c r="G10" s="54"/>
      <c r="H10" s="54">
        <f t="shared" si="6"/>
        <v>41225</v>
      </c>
      <c r="I10" s="54">
        <f t="shared" si="7"/>
        <v>18800</v>
      </c>
    </row>
    <row r="11" hidden="1">
      <c r="A11" s="53" t="s">
        <v>117</v>
      </c>
      <c r="B11" s="45">
        <f>6000+65715.56</f>
        <v>71715.56</v>
      </c>
      <c r="C11" s="46"/>
      <c r="D11" s="46">
        <v>100.0</v>
      </c>
      <c r="E11" s="45">
        <f t="shared" si="5"/>
        <v>45000</v>
      </c>
      <c r="F11" s="45">
        <v>110500.0</v>
      </c>
      <c r="G11" s="54"/>
      <c r="H11" s="54">
        <f t="shared" ref="H11:H12" si="8">+F11*0.9</f>
        <v>99450</v>
      </c>
      <c r="I11" s="54">
        <f t="shared" ref="I11:I12" si="9">+(F11-E11)*$M$4</f>
        <v>58950</v>
      </c>
    </row>
    <row r="12" hidden="1">
      <c r="A12" s="53" t="s">
        <v>117</v>
      </c>
      <c r="B12" s="45">
        <f>6000+62243.75</f>
        <v>68243.75</v>
      </c>
      <c r="C12" s="46"/>
      <c r="D12" s="46">
        <v>100.0</v>
      </c>
      <c r="E12" s="45">
        <f t="shared" si="5"/>
        <v>45000</v>
      </c>
      <c r="F12" s="45">
        <v>110500.0</v>
      </c>
      <c r="G12" s="54"/>
      <c r="H12" s="54">
        <f t="shared" si="8"/>
        <v>99450</v>
      </c>
      <c r="I12" s="54">
        <f t="shared" si="9"/>
        <v>58950</v>
      </c>
    </row>
    <row r="13" hidden="1">
      <c r="B13" s="45"/>
      <c r="C13" s="46"/>
      <c r="D13" s="46"/>
      <c r="E13" s="45"/>
      <c r="F13" s="45"/>
      <c r="G13" s="56"/>
      <c r="H13" s="56">
        <f t="shared" ref="H13:I13" si="10">SUM(H9:H12)</f>
        <v>281350</v>
      </c>
      <c r="I13" s="56">
        <f t="shared" si="10"/>
        <v>155500</v>
      </c>
    </row>
    <row r="14" hidden="1">
      <c r="B14" s="45"/>
      <c r="C14" s="46"/>
      <c r="D14" s="46"/>
      <c r="E14" s="45"/>
      <c r="F14" s="45"/>
      <c r="G14" s="54"/>
      <c r="H14" s="54"/>
      <c r="I14" s="54"/>
    </row>
    <row r="15" hidden="1">
      <c r="A15" s="58" t="s">
        <v>118</v>
      </c>
      <c r="B15" s="49" t="s">
        <v>104</v>
      </c>
      <c r="C15" s="50"/>
      <c r="D15" s="50"/>
      <c r="E15" s="49"/>
      <c r="F15" s="49"/>
      <c r="G15" s="51"/>
      <c r="H15" s="51" t="s">
        <v>10</v>
      </c>
      <c r="I15" s="51"/>
    </row>
    <row r="16" hidden="1">
      <c r="A16" s="53" t="s">
        <v>119</v>
      </c>
      <c r="B16" s="45">
        <v>241818.0</v>
      </c>
      <c r="C16" s="46"/>
      <c r="D16" s="46">
        <v>300.0</v>
      </c>
      <c r="E16" s="45">
        <f>+D16*$M$16</f>
        <v>159150</v>
      </c>
      <c r="F16" s="45">
        <v>300000.0</v>
      </c>
      <c r="G16" s="54"/>
      <c r="H16" s="54">
        <f>F16*M17</f>
        <v>282000</v>
      </c>
      <c r="I16" s="54">
        <f>H16-E16</f>
        <v>122850</v>
      </c>
      <c r="L16" s="52" t="s">
        <v>112</v>
      </c>
      <c r="M16" s="52">
        <f>(671+390)/2</f>
        <v>530.5</v>
      </c>
    </row>
    <row r="17" hidden="1">
      <c r="B17" s="45"/>
      <c r="C17" s="46"/>
      <c r="D17" s="46"/>
      <c r="E17" s="45"/>
      <c r="F17" s="45"/>
      <c r="G17" s="54"/>
      <c r="H17" s="54"/>
      <c r="I17" s="54"/>
      <c r="L17" s="53" t="s">
        <v>114</v>
      </c>
      <c r="M17" s="55">
        <v>0.94</v>
      </c>
    </row>
    <row r="18" hidden="1">
      <c r="A18" s="57" t="s">
        <v>120</v>
      </c>
      <c r="B18" s="59" t="s">
        <v>121</v>
      </c>
      <c r="C18" s="46"/>
      <c r="D18" s="46"/>
      <c r="E18" s="45"/>
      <c r="F18" s="45"/>
      <c r="G18" s="60"/>
      <c r="H18" s="60"/>
      <c r="I18" s="60"/>
      <c r="M18" s="55"/>
    </row>
    <row r="19" hidden="1">
      <c r="A19" s="61" t="s">
        <v>122</v>
      </c>
      <c r="B19" s="62">
        <v>7605.21</v>
      </c>
      <c r="C19" s="63"/>
      <c r="D19" s="63" t="s">
        <v>123</v>
      </c>
      <c r="E19" s="62">
        <f t="shared" ref="E19:E39" si="11">D19*$M$19</f>
        <v>14800</v>
      </c>
      <c r="F19" s="62">
        <v>40000.0</v>
      </c>
      <c r="G19" s="64"/>
      <c r="H19" s="65">
        <f>F19*$M$20</f>
        <v>32000</v>
      </c>
      <c r="I19" s="66">
        <f t="shared" ref="I19:I39" si="12">H19-E19</f>
        <v>17200</v>
      </c>
      <c r="J19" s="67">
        <f t="shared" ref="J19:J39" si="13">H19/B19-1</f>
        <v>3.207641867</v>
      </c>
      <c r="L19" s="52" t="s">
        <v>112</v>
      </c>
      <c r="M19" s="52">
        <v>370.0</v>
      </c>
    </row>
    <row r="20" hidden="1">
      <c r="A20" s="61" t="s">
        <v>124</v>
      </c>
      <c r="B20" s="68">
        <v>33619.13</v>
      </c>
      <c r="C20" s="69"/>
      <c r="D20" s="69">
        <v>50.0</v>
      </c>
      <c r="E20" s="62">
        <f t="shared" si="11"/>
        <v>18500</v>
      </c>
      <c r="F20" s="62">
        <v>50000.0</v>
      </c>
      <c r="G20" s="64"/>
      <c r="H20" s="65">
        <f t="shared" ref="H20:H21" si="14">F20*$M$21</f>
        <v>45000</v>
      </c>
      <c r="I20" s="66">
        <f t="shared" si="12"/>
        <v>26500</v>
      </c>
      <c r="J20" s="67">
        <f t="shared" si="13"/>
        <v>0.3385236322</v>
      </c>
      <c r="L20" s="53" t="s">
        <v>114</v>
      </c>
      <c r="M20" s="55">
        <v>0.8</v>
      </c>
    </row>
    <row r="21" ht="15.75" hidden="1" customHeight="1">
      <c r="A21" s="61" t="s">
        <v>125</v>
      </c>
      <c r="B21" s="68">
        <v>42019.46</v>
      </c>
      <c r="C21" s="69"/>
      <c r="D21" s="69">
        <v>50.0</v>
      </c>
      <c r="E21" s="62">
        <f t="shared" si="11"/>
        <v>18500</v>
      </c>
      <c r="F21" s="62">
        <v>50000.0</v>
      </c>
      <c r="G21" s="64"/>
      <c r="H21" s="65">
        <f t="shared" si="14"/>
        <v>45000</v>
      </c>
      <c r="I21" s="66">
        <f t="shared" si="12"/>
        <v>26500</v>
      </c>
      <c r="J21" s="67">
        <f t="shared" si="13"/>
        <v>0.07093237276</v>
      </c>
      <c r="L21" s="53" t="s">
        <v>114</v>
      </c>
      <c r="M21" s="55">
        <v>0.9</v>
      </c>
    </row>
    <row r="22" ht="15.75" hidden="1" customHeight="1">
      <c r="A22" s="61" t="s">
        <v>126</v>
      </c>
      <c r="B22" s="62">
        <v>1864.12</v>
      </c>
      <c r="C22" s="69"/>
      <c r="D22" s="69">
        <v>18.0</v>
      </c>
      <c r="E22" s="62">
        <f t="shared" si="11"/>
        <v>6660</v>
      </c>
      <c r="F22" s="62">
        <v>18000.0</v>
      </c>
      <c r="G22" s="64"/>
      <c r="H22" s="65">
        <f t="shared" ref="H22:H39" si="15">F22*$M$20</f>
        <v>14400</v>
      </c>
      <c r="I22" s="66">
        <f t="shared" si="12"/>
        <v>7740</v>
      </c>
      <c r="J22" s="67">
        <f t="shared" si="13"/>
        <v>6.724824582</v>
      </c>
    </row>
    <row r="23" ht="15.75" hidden="1" customHeight="1">
      <c r="A23" s="53" t="s">
        <v>127</v>
      </c>
      <c r="B23" s="70">
        <v>1000.0</v>
      </c>
      <c r="C23" s="46"/>
      <c r="D23" s="46">
        <v>3.0</v>
      </c>
      <c r="E23" s="45">
        <f t="shared" si="11"/>
        <v>1110</v>
      </c>
      <c r="F23" s="45">
        <v>3000.0</v>
      </c>
      <c r="G23" s="60"/>
      <c r="H23" s="71">
        <f t="shared" si="15"/>
        <v>2400</v>
      </c>
      <c r="I23" s="54">
        <f t="shared" si="12"/>
        <v>1290</v>
      </c>
      <c r="J23" s="72">
        <f t="shared" si="13"/>
        <v>1.4</v>
      </c>
    </row>
    <row r="24" ht="15.75" hidden="1" customHeight="1">
      <c r="A24" s="61" t="s">
        <v>128</v>
      </c>
      <c r="B24" s="70">
        <v>1000.0</v>
      </c>
      <c r="C24" s="46"/>
      <c r="D24" s="46">
        <v>2.0</v>
      </c>
      <c r="E24" s="45">
        <f t="shared" si="11"/>
        <v>740</v>
      </c>
      <c r="F24" s="45">
        <v>2000.0</v>
      </c>
      <c r="G24" s="60"/>
      <c r="H24" s="71">
        <f t="shared" si="15"/>
        <v>1600</v>
      </c>
      <c r="I24" s="54">
        <f t="shared" si="12"/>
        <v>860</v>
      </c>
      <c r="J24" s="72">
        <f t="shared" si="13"/>
        <v>0.6</v>
      </c>
    </row>
    <row r="25" ht="15.75" hidden="1" customHeight="1">
      <c r="A25" s="53" t="s">
        <v>129</v>
      </c>
      <c r="B25" s="70">
        <v>1000.0</v>
      </c>
      <c r="C25" s="46"/>
      <c r="D25" s="46">
        <v>5.0</v>
      </c>
      <c r="E25" s="45">
        <f t="shared" si="11"/>
        <v>1850</v>
      </c>
      <c r="F25" s="45">
        <v>5000.0</v>
      </c>
      <c r="G25" s="60"/>
      <c r="H25" s="71">
        <f t="shared" si="15"/>
        <v>4000</v>
      </c>
      <c r="I25" s="54">
        <f t="shared" si="12"/>
        <v>2150</v>
      </c>
      <c r="J25" s="72">
        <f t="shared" si="13"/>
        <v>3</v>
      </c>
    </row>
    <row r="26" ht="15.75" hidden="1" customHeight="1">
      <c r="A26" s="61" t="s">
        <v>130</v>
      </c>
      <c r="B26" s="45">
        <v>616.85</v>
      </c>
      <c r="C26" s="46"/>
      <c r="D26" s="46">
        <v>5.0</v>
      </c>
      <c r="E26" s="45">
        <f t="shared" si="11"/>
        <v>1850</v>
      </c>
      <c r="F26" s="45">
        <v>5000.0</v>
      </c>
      <c r="G26" s="60"/>
      <c r="H26" s="71">
        <f t="shared" si="15"/>
        <v>4000</v>
      </c>
      <c r="I26" s="54">
        <f t="shared" si="12"/>
        <v>2150</v>
      </c>
      <c r="J26" s="72">
        <f t="shared" si="13"/>
        <v>5.484558645</v>
      </c>
    </row>
    <row r="27" ht="15.75" hidden="1" customHeight="1">
      <c r="A27" s="61" t="s">
        <v>87</v>
      </c>
      <c r="B27" s="45">
        <v>1095.09</v>
      </c>
      <c r="C27" s="46"/>
      <c r="D27" s="46">
        <v>10.0</v>
      </c>
      <c r="E27" s="45">
        <f t="shared" si="11"/>
        <v>3700</v>
      </c>
      <c r="F27" s="45">
        <v>10000.0</v>
      </c>
      <c r="G27" s="60"/>
      <c r="H27" s="71">
        <f t="shared" si="15"/>
        <v>8000</v>
      </c>
      <c r="I27" s="54">
        <f t="shared" si="12"/>
        <v>4300</v>
      </c>
      <c r="J27" s="72">
        <f t="shared" si="13"/>
        <v>6.305335635</v>
      </c>
    </row>
    <row r="28" ht="15.75" hidden="1" customHeight="1">
      <c r="A28" s="61" t="s">
        <v>131</v>
      </c>
      <c r="B28" s="45">
        <v>493.48</v>
      </c>
      <c r="C28" s="46"/>
      <c r="D28" s="46">
        <v>5.0</v>
      </c>
      <c r="E28" s="45">
        <f t="shared" si="11"/>
        <v>1850</v>
      </c>
      <c r="F28" s="45">
        <v>5000.0</v>
      </c>
      <c r="G28" s="60"/>
      <c r="H28" s="71">
        <f t="shared" si="15"/>
        <v>4000</v>
      </c>
      <c r="I28" s="54">
        <f t="shared" si="12"/>
        <v>2150</v>
      </c>
      <c r="J28" s="72">
        <f t="shared" si="13"/>
        <v>7.105698306</v>
      </c>
    </row>
    <row r="29" ht="15.75" hidden="1" customHeight="1">
      <c r="A29" s="61" t="s">
        <v>132</v>
      </c>
      <c r="B29" s="45">
        <v>493.48</v>
      </c>
      <c r="C29" s="46"/>
      <c r="D29" s="46">
        <v>5.0</v>
      </c>
      <c r="E29" s="45">
        <f t="shared" si="11"/>
        <v>1850</v>
      </c>
      <c r="F29" s="45">
        <v>5000.0</v>
      </c>
      <c r="G29" s="60"/>
      <c r="H29" s="71">
        <f t="shared" si="15"/>
        <v>4000</v>
      </c>
      <c r="I29" s="54">
        <f t="shared" si="12"/>
        <v>2150</v>
      </c>
      <c r="J29" s="72">
        <f t="shared" si="13"/>
        <v>7.105698306</v>
      </c>
    </row>
    <row r="30" ht="15.75" hidden="1" customHeight="1">
      <c r="A30" s="53" t="s">
        <v>133</v>
      </c>
      <c r="B30" s="70">
        <v>1000.0</v>
      </c>
      <c r="C30" s="46"/>
      <c r="D30" s="46">
        <v>2.0</v>
      </c>
      <c r="E30" s="45">
        <f t="shared" si="11"/>
        <v>740</v>
      </c>
      <c r="F30" s="45">
        <v>2000.0</v>
      </c>
      <c r="G30" s="60"/>
      <c r="H30" s="71">
        <f t="shared" si="15"/>
        <v>1600</v>
      </c>
      <c r="I30" s="54">
        <f t="shared" si="12"/>
        <v>860</v>
      </c>
      <c r="J30" s="72">
        <f t="shared" si="13"/>
        <v>0.6</v>
      </c>
    </row>
    <row r="31" ht="15.75" hidden="1" customHeight="1">
      <c r="A31" s="61" t="s">
        <v>134</v>
      </c>
      <c r="B31" s="45">
        <v>2906.33</v>
      </c>
      <c r="C31" s="46"/>
      <c r="D31" s="46">
        <v>12.0</v>
      </c>
      <c r="E31" s="45">
        <f t="shared" si="11"/>
        <v>4440</v>
      </c>
      <c r="F31" s="45">
        <v>12000.0</v>
      </c>
      <c r="G31" s="60"/>
      <c r="H31" s="71">
        <f t="shared" si="15"/>
        <v>9600</v>
      </c>
      <c r="I31" s="54">
        <f t="shared" si="12"/>
        <v>5160</v>
      </c>
      <c r="J31" s="72">
        <f t="shared" si="13"/>
        <v>2.303134881</v>
      </c>
    </row>
    <row r="32" ht="15.75" hidden="1" customHeight="1">
      <c r="A32" s="61" t="s">
        <v>135</v>
      </c>
      <c r="B32" s="70">
        <v>1000.0</v>
      </c>
      <c r="C32" s="46"/>
      <c r="D32" s="46">
        <v>1.5</v>
      </c>
      <c r="E32" s="45">
        <f t="shared" si="11"/>
        <v>555</v>
      </c>
      <c r="F32" s="45">
        <v>1500.0</v>
      </c>
      <c r="G32" s="60"/>
      <c r="H32" s="71">
        <f t="shared" si="15"/>
        <v>1200</v>
      </c>
      <c r="I32" s="54">
        <f t="shared" si="12"/>
        <v>645</v>
      </c>
      <c r="J32" s="72">
        <f t="shared" si="13"/>
        <v>0.2</v>
      </c>
    </row>
    <row r="33" ht="15.75" hidden="1" customHeight="1">
      <c r="A33" s="53" t="s">
        <v>136</v>
      </c>
      <c r="B33" s="70">
        <v>1000.0</v>
      </c>
      <c r="C33" s="46"/>
      <c r="D33" s="46">
        <v>1.5</v>
      </c>
      <c r="E33" s="45">
        <f t="shared" si="11"/>
        <v>555</v>
      </c>
      <c r="F33" s="45">
        <v>1500.0</v>
      </c>
      <c r="G33" s="60"/>
      <c r="H33" s="71">
        <f t="shared" si="15"/>
        <v>1200</v>
      </c>
      <c r="I33" s="54">
        <f t="shared" si="12"/>
        <v>645</v>
      </c>
      <c r="J33" s="72">
        <f t="shared" si="13"/>
        <v>0.2</v>
      </c>
    </row>
    <row r="34" ht="15.75" hidden="1" customHeight="1">
      <c r="A34" s="53" t="s">
        <v>137</v>
      </c>
      <c r="B34" s="70">
        <v>1000.0</v>
      </c>
      <c r="C34" s="46"/>
      <c r="D34" s="46">
        <v>1.5</v>
      </c>
      <c r="E34" s="45">
        <f t="shared" si="11"/>
        <v>555</v>
      </c>
      <c r="F34" s="45">
        <v>1500.0</v>
      </c>
      <c r="G34" s="60"/>
      <c r="H34" s="71">
        <f t="shared" si="15"/>
        <v>1200</v>
      </c>
      <c r="I34" s="54">
        <f t="shared" si="12"/>
        <v>645</v>
      </c>
      <c r="J34" s="72">
        <f t="shared" si="13"/>
        <v>0.2</v>
      </c>
    </row>
    <row r="35" ht="15.75" hidden="1" customHeight="1">
      <c r="A35" s="53" t="s">
        <v>138</v>
      </c>
      <c r="B35" s="70">
        <v>1000.0</v>
      </c>
      <c r="C35" s="46"/>
      <c r="D35" s="46">
        <v>1.5</v>
      </c>
      <c r="E35" s="45">
        <f t="shared" si="11"/>
        <v>555</v>
      </c>
      <c r="F35" s="45">
        <v>1500.0</v>
      </c>
      <c r="G35" s="60"/>
      <c r="H35" s="71">
        <f t="shared" si="15"/>
        <v>1200</v>
      </c>
      <c r="I35" s="54">
        <f t="shared" si="12"/>
        <v>645</v>
      </c>
      <c r="J35" s="72">
        <f t="shared" si="13"/>
        <v>0.2</v>
      </c>
    </row>
    <row r="36" ht="15.75" hidden="1" customHeight="1">
      <c r="A36" s="53" t="s">
        <v>139</v>
      </c>
      <c r="B36" s="70">
        <v>1000.0</v>
      </c>
      <c r="C36" s="46"/>
      <c r="D36" s="46">
        <v>1.5</v>
      </c>
      <c r="E36" s="45">
        <f t="shared" si="11"/>
        <v>555</v>
      </c>
      <c r="F36" s="45">
        <v>1500.0</v>
      </c>
      <c r="G36" s="60"/>
      <c r="H36" s="71">
        <f t="shared" si="15"/>
        <v>1200</v>
      </c>
      <c r="I36" s="54">
        <f t="shared" si="12"/>
        <v>645</v>
      </c>
      <c r="J36" s="72">
        <f t="shared" si="13"/>
        <v>0.2</v>
      </c>
    </row>
    <row r="37" ht="15.75" hidden="1" customHeight="1">
      <c r="A37" s="53" t="s">
        <v>140</v>
      </c>
      <c r="B37" s="70">
        <v>1000.0</v>
      </c>
      <c r="C37" s="46"/>
      <c r="D37" s="46">
        <v>2.0</v>
      </c>
      <c r="E37" s="45">
        <f t="shared" si="11"/>
        <v>740</v>
      </c>
      <c r="F37" s="45">
        <v>2000.0</v>
      </c>
      <c r="G37" s="60"/>
      <c r="H37" s="71">
        <f t="shared" si="15"/>
        <v>1600</v>
      </c>
      <c r="I37" s="54">
        <f t="shared" si="12"/>
        <v>860</v>
      </c>
      <c r="J37" s="72">
        <f t="shared" si="13"/>
        <v>0.6</v>
      </c>
    </row>
    <row r="38" ht="15.75" hidden="1" customHeight="1">
      <c r="A38" s="53" t="s">
        <v>141</v>
      </c>
      <c r="B38" s="45">
        <v>458.95</v>
      </c>
      <c r="C38" s="46"/>
      <c r="D38" s="46">
        <v>3.5</v>
      </c>
      <c r="E38" s="45">
        <f t="shared" si="11"/>
        <v>1295</v>
      </c>
      <c r="F38" s="45">
        <v>3500.0</v>
      </c>
      <c r="G38" s="60"/>
      <c r="H38" s="71">
        <f t="shared" si="15"/>
        <v>2800</v>
      </c>
      <c r="I38" s="54">
        <f t="shared" si="12"/>
        <v>1505</v>
      </c>
      <c r="J38" s="72">
        <f t="shared" si="13"/>
        <v>5.100882449</v>
      </c>
    </row>
    <row r="39" ht="15.75" hidden="1" customHeight="1">
      <c r="A39" s="53" t="s">
        <v>142</v>
      </c>
      <c r="B39" s="45">
        <v>428.93</v>
      </c>
      <c r="C39" s="46"/>
      <c r="D39" s="46">
        <v>9.0</v>
      </c>
      <c r="E39" s="45">
        <f t="shared" si="11"/>
        <v>3330</v>
      </c>
      <c r="F39" s="45">
        <v>9000.0</v>
      </c>
      <c r="G39" s="60"/>
      <c r="H39" s="71">
        <f t="shared" si="15"/>
        <v>7200</v>
      </c>
      <c r="I39" s="54">
        <f t="shared" si="12"/>
        <v>3870</v>
      </c>
      <c r="J39" s="72">
        <f t="shared" si="13"/>
        <v>15.78595575</v>
      </c>
    </row>
    <row r="40" ht="15.75" hidden="1" customHeight="1">
      <c r="B40" s="45"/>
      <c r="C40" s="46"/>
      <c r="D40" s="46"/>
      <c r="E40" s="45"/>
      <c r="F40" s="45"/>
      <c r="G40" s="73"/>
      <c r="H40" s="73">
        <f>SUM(H19:H39)</f>
        <v>193200</v>
      </c>
      <c r="I40" s="74">
        <f>SUM(I19:I22)</f>
        <v>77940</v>
      </c>
      <c r="J40" s="72"/>
    </row>
    <row r="41" ht="15.75" hidden="1" customHeight="1">
      <c r="B41" s="45"/>
      <c r="C41" s="46"/>
      <c r="D41" s="46"/>
      <c r="E41" s="45"/>
      <c r="F41" s="45"/>
      <c r="G41" s="60"/>
      <c r="H41" s="60"/>
      <c r="I41" s="54"/>
      <c r="J41" s="72"/>
    </row>
    <row r="42" ht="15.75" hidden="1" customHeight="1">
      <c r="A42" s="57" t="s">
        <v>143</v>
      </c>
      <c r="B42" s="49" t="s">
        <v>108</v>
      </c>
      <c r="C42" s="50" t="s">
        <v>144</v>
      </c>
      <c r="D42" s="50" t="s">
        <v>109</v>
      </c>
      <c r="E42" s="49" t="s">
        <v>110</v>
      </c>
      <c r="F42" s="49" t="s">
        <v>9</v>
      </c>
      <c r="G42" s="60"/>
      <c r="H42" s="60"/>
      <c r="I42" s="54"/>
      <c r="J42" s="72"/>
    </row>
    <row r="43" ht="15.75" hidden="1" customHeight="1">
      <c r="A43" s="75" t="s">
        <v>145</v>
      </c>
      <c r="B43" s="70">
        <v>1000.0</v>
      </c>
      <c r="C43" s="46"/>
      <c r="D43" s="46">
        <v>5.0</v>
      </c>
      <c r="E43" s="45">
        <f t="shared" ref="E43:E63" si="16">D43*$M$43</f>
        <v>2530</v>
      </c>
      <c r="F43" s="45">
        <v>5000.0</v>
      </c>
      <c r="G43" s="60"/>
      <c r="H43" s="71">
        <f t="shared" ref="H43:H63" si="17">F43*$M$44</f>
        <v>4000</v>
      </c>
      <c r="I43" s="54">
        <f>H43-E43</f>
        <v>1470</v>
      </c>
      <c r="J43" s="72">
        <f t="shared" ref="J43:J63" si="18">H43/B43-1</f>
        <v>3</v>
      </c>
      <c r="K43" s="72">
        <f t="shared" ref="K43:K62" si="19">E43/B43-1</f>
        <v>1.53</v>
      </c>
      <c r="L43" s="52" t="s">
        <v>112</v>
      </c>
      <c r="M43" s="52">
        <v>506.0</v>
      </c>
    </row>
    <row r="44" ht="15.75" hidden="1" customHeight="1">
      <c r="A44" s="75" t="s">
        <v>146</v>
      </c>
      <c r="B44" s="45">
        <v>12475.5</v>
      </c>
      <c r="C44" s="76">
        <f>(D44/$C$64)*$B$64</f>
        <v>1677.018634</v>
      </c>
      <c r="D44" s="46">
        <v>20.0</v>
      </c>
      <c r="E44" s="45">
        <f t="shared" si="16"/>
        <v>10120</v>
      </c>
      <c r="F44" s="45">
        <v>20000.0</v>
      </c>
      <c r="G44" s="60"/>
      <c r="H44" s="71">
        <f t="shared" si="17"/>
        <v>16000</v>
      </c>
      <c r="I44" s="77">
        <f>H44-E44+C44</f>
        <v>7557.018634</v>
      </c>
      <c r="J44" s="72">
        <f t="shared" si="18"/>
        <v>0.2825137269</v>
      </c>
      <c r="K44" s="72">
        <f t="shared" si="19"/>
        <v>-0.1888100677</v>
      </c>
      <c r="L44" s="53" t="s">
        <v>114</v>
      </c>
      <c r="M44" s="55">
        <v>0.8</v>
      </c>
    </row>
    <row r="45" ht="15.75" hidden="1" customHeight="1">
      <c r="A45" s="53" t="s">
        <v>147</v>
      </c>
      <c r="B45" s="70">
        <v>1000.0</v>
      </c>
      <c r="C45" s="46"/>
      <c r="D45" s="46">
        <v>1.5</v>
      </c>
      <c r="E45" s="45">
        <f t="shared" si="16"/>
        <v>759</v>
      </c>
      <c r="F45" s="45">
        <v>1500.0</v>
      </c>
      <c r="G45" s="60"/>
      <c r="H45" s="71">
        <f t="shared" si="17"/>
        <v>1200</v>
      </c>
      <c r="I45" s="54">
        <f t="shared" ref="I45:I54" si="20">H45-E45</f>
        <v>441</v>
      </c>
      <c r="J45" s="72">
        <f t="shared" si="18"/>
        <v>0.2</v>
      </c>
      <c r="K45" s="72">
        <f t="shared" si="19"/>
        <v>-0.241</v>
      </c>
      <c r="L45" s="53" t="s">
        <v>114</v>
      </c>
      <c r="M45" s="55">
        <v>0.9</v>
      </c>
    </row>
    <row r="46" ht="15.75" hidden="1" customHeight="1">
      <c r="A46" s="53" t="s">
        <v>127</v>
      </c>
      <c r="B46" s="70">
        <v>1000.0</v>
      </c>
      <c r="C46" s="46"/>
      <c r="D46" s="46">
        <v>3.0</v>
      </c>
      <c r="E46" s="45">
        <f t="shared" si="16"/>
        <v>1518</v>
      </c>
      <c r="F46" s="45">
        <v>3000.0</v>
      </c>
      <c r="G46" s="60"/>
      <c r="H46" s="71">
        <f t="shared" si="17"/>
        <v>2400</v>
      </c>
      <c r="I46" s="54">
        <f t="shared" si="20"/>
        <v>882</v>
      </c>
      <c r="J46" s="72">
        <f t="shared" si="18"/>
        <v>1.4</v>
      </c>
      <c r="K46" s="72">
        <f t="shared" si="19"/>
        <v>0.518</v>
      </c>
    </row>
    <row r="47" ht="15.75" hidden="1" customHeight="1">
      <c r="A47" s="53" t="s">
        <v>148</v>
      </c>
      <c r="B47" s="70">
        <v>1000.0</v>
      </c>
      <c r="C47" s="46"/>
      <c r="D47" s="46">
        <v>2.0</v>
      </c>
      <c r="E47" s="45">
        <f t="shared" si="16"/>
        <v>1012</v>
      </c>
      <c r="F47" s="45">
        <v>2000.0</v>
      </c>
      <c r="G47" s="60"/>
      <c r="H47" s="71">
        <f t="shared" si="17"/>
        <v>1600</v>
      </c>
      <c r="I47" s="54">
        <f t="shared" si="20"/>
        <v>588</v>
      </c>
      <c r="J47" s="72">
        <f t="shared" si="18"/>
        <v>0.6</v>
      </c>
      <c r="K47" s="72">
        <f t="shared" si="19"/>
        <v>0.012</v>
      </c>
    </row>
    <row r="48" ht="15.75" hidden="1" customHeight="1">
      <c r="A48" s="53" t="s">
        <v>136</v>
      </c>
      <c r="B48" s="70">
        <v>1000.0</v>
      </c>
      <c r="C48" s="46"/>
      <c r="D48" s="46">
        <v>1.5</v>
      </c>
      <c r="E48" s="45">
        <f t="shared" si="16"/>
        <v>759</v>
      </c>
      <c r="F48" s="45">
        <v>1500.0</v>
      </c>
      <c r="G48" s="60"/>
      <c r="H48" s="71">
        <f t="shared" si="17"/>
        <v>1200</v>
      </c>
      <c r="I48" s="54">
        <f t="shared" si="20"/>
        <v>441</v>
      </c>
      <c r="J48" s="72">
        <f t="shared" si="18"/>
        <v>0.2</v>
      </c>
      <c r="K48" s="72">
        <f t="shared" si="19"/>
        <v>-0.241</v>
      </c>
    </row>
    <row r="49" ht="15.75" hidden="1" customHeight="1">
      <c r="A49" s="53" t="s">
        <v>137</v>
      </c>
      <c r="B49" s="70">
        <v>1000.0</v>
      </c>
      <c r="C49" s="46"/>
      <c r="D49" s="46">
        <v>1.5</v>
      </c>
      <c r="E49" s="45">
        <f t="shared" si="16"/>
        <v>759</v>
      </c>
      <c r="F49" s="45">
        <v>1500.0</v>
      </c>
      <c r="G49" s="60"/>
      <c r="H49" s="71">
        <f t="shared" si="17"/>
        <v>1200</v>
      </c>
      <c r="I49" s="54">
        <f t="shared" si="20"/>
        <v>441</v>
      </c>
      <c r="J49" s="72">
        <f t="shared" si="18"/>
        <v>0.2</v>
      </c>
      <c r="K49" s="72">
        <f t="shared" si="19"/>
        <v>-0.241</v>
      </c>
    </row>
    <row r="50" ht="15.75" hidden="1" customHeight="1">
      <c r="A50" s="53" t="s">
        <v>138</v>
      </c>
      <c r="B50" s="70">
        <v>1000.0</v>
      </c>
      <c r="C50" s="46"/>
      <c r="D50" s="46">
        <v>1.5</v>
      </c>
      <c r="E50" s="45">
        <f t="shared" si="16"/>
        <v>759</v>
      </c>
      <c r="F50" s="45">
        <v>1500.0</v>
      </c>
      <c r="G50" s="60"/>
      <c r="H50" s="71">
        <f t="shared" si="17"/>
        <v>1200</v>
      </c>
      <c r="I50" s="54">
        <f t="shared" si="20"/>
        <v>441</v>
      </c>
      <c r="J50" s="72">
        <f t="shared" si="18"/>
        <v>0.2</v>
      </c>
      <c r="K50" s="72">
        <f t="shared" si="19"/>
        <v>-0.241</v>
      </c>
    </row>
    <row r="51" ht="15.75" hidden="1" customHeight="1">
      <c r="A51" s="53" t="s">
        <v>139</v>
      </c>
      <c r="B51" s="70">
        <v>1000.0</v>
      </c>
      <c r="C51" s="46"/>
      <c r="D51" s="46">
        <v>1.5</v>
      </c>
      <c r="E51" s="45">
        <f t="shared" si="16"/>
        <v>759</v>
      </c>
      <c r="F51" s="45">
        <v>1500.0</v>
      </c>
      <c r="G51" s="60"/>
      <c r="H51" s="71">
        <f t="shared" si="17"/>
        <v>1200</v>
      </c>
      <c r="I51" s="54">
        <f t="shared" si="20"/>
        <v>441</v>
      </c>
      <c r="J51" s="72">
        <f t="shared" si="18"/>
        <v>0.2</v>
      </c>
      <c r="K51" s="72">
        <f t="shared" si="19"/>
        <v>-0.241</v>
      </c>
    </row>
    <row r="52" ht="15.75" hidden="1" customHeight="1">
      <c r="A52" s="53" t="s">
        <v>149</v>
      </c>
      <c r="B52" s="70">
        <v>1000.0</v>
      </c>
      <c r="C52" s="46"/>
      <c r="D52" s="46">
        <v>2.0</v>
      </c>
      <c r="E52" s="45">
        <f t="shared" si="16"/>
        <v>1012</v>
      </c>
      <c r="F52" s="45">
        <v>2000.0</v>
      </c>
      <c r="G52" s="60"/>
      <c r="H52" s="71">
        <f t="shared" si="17"/>
        <v>1600</v>
      </c>
      <c r="I52" s="54">
        <f t="shared" si="20"/>
        <v>588</v>
      </c>
      <c r="J52" s="72">
        <f t="shared" si="18"/>
        <v>0.6</v>
      </c>
      <c r="K52" s="72">
        <f t="shared" si="19"/>
        <v>0.012</v>
      </c>
    </row>
    <row r="53" ht="15.75" hidden="1" customHeight="1">
      <c r="A53" s="75" t="s">
        <v>141</v>
      </c>
      <c r="B53" s="45">
        <v>458.95</v>
      </c>
      <c r="C53" s="46"/>
      <c r="D53" s="46">
        <v>3.5</v>
      </c>
      <c r="E53" s="45">
        <f t="shared" si="16"/>
        <v>1771</v>
      </c>
      <c r="F53" s="45">
        <v>3500.0</v>
      </c>
      <c r="G53" s="60"/>
      <c r="H53" s="71">
        <f t="shared" si="17"/>
        <v>2800</v>
      </c>
      <c r="I53" s="54">
        <f t="shared" si="20"/>
        <v>1029</v>
      </c>
      <c r="J53" s="72">
        <f t="shared" si="18"/>
        <v>5.100882449</v>
      </c>
      <c r="K53" s="72">
        <f t="shared" si="19"/>
        <v>2.858808149</v>
      </c>
    </row>
    <row r="54" ht="15.75" hidden="1" customHeight="1">
      <c r="A54" s="53" t="s">
        <v>135</v>
      </c>
      <c r="B54" s="70">
        <v>1000.0</v>
      </c>
      <c r="C54" s="46"/>
      <c r="D54" s="46">
        <v>1.5</v>
      </c>
      <c r="E54" s="45">
        <f t="shared" si="16"/>
        <v>759</v>
      </c>
      <c r="F54" s="45">
        <v>1500.0</v>
      </c>
      <c r="G54" s="60"/>
      <c r="H54" s="71">
        <f t="shared" si="17"/>
        <v>1200</v>
      </c>
      <c r="I54" s="54">
        <f t="shared" si="20"/>
        <v>441</v>
      </c>
      <c r="J54" s="72">
        <f t="shared" si="18"/>
        <v>0.2</v>
      </c>
      <c r="K54" s="72">
        <f t="shared" si="19"/>
        <v>-0.241</v>
      </c>
    </row>
    <row r="55" ht="15.75" hidden="1" customHeight="1">
      <c r="A55" s="75" t="s">
        <v>150</v>
      </c>
      <c r="B55" s="45">
        <v>4338.93</v>
      </c>
      <c r="C55" s="76">
        <f>(D55/$C$64)*$B$64</f>
        <v>1257.763975</v>
      </c>
      <c r="D55" s="46">
        <v>15.0</v>
      </c>
      <c r="E55" s="45">
        <f t="shared" si="16"/>
        <v>7590</v>
      </c>
      <c r="F55" s="45">
        <v>15000.0</v>
      </c>
      <c r="G55" s="60"/>
      <c r="H55" s="71">
        <f t="shared" si="17"/>
        <v>12000</v>
      </c>
      <c r="I55" s="77">
        <f>H55-E55+C55</f>
        <v>5667.763975</v>
      </c>
      <c r="J55" s="72">
        <f t="shared" si="18"/>
        <v>1.765658815</v>
      </c>
      <c r="K55" s="72">
        <f t="shared" si="19"/>
        <v>0.7492792002</v>
      </c>
    </row>
    <row r="56" ht="15.75" hidden="1" customHeight="1">
      <c r="A56" s="53" t="s">
        <v>151</v>
      </c>
      <c r="B56" s="70">
        <v>1000.0</v>
      </c>
      <c r="C56" s="46"/>
      <c r="D56" s="46">
        <v>4.5</v>
      </c>
      <c r="E56" s="45">
        <f t="shared" si="16"/>
        <v>2277</v>
      </c>
      <c r="F56" s="45">
        <v>4500.0</v>
      </c>
      <c r="G56" s="60"/>
      <c r="H56" s="71">
        <f t="shared" si="17"/>
        <v>3600</v>
      </c>
      <c r="I56" s="54">
        <f t="shared" ref="I56:I58" si="21">H56-E56</f>
        <v>1323</v>
      </c>
      <c r="J56" s="72">
        <f t="shared" si="18"/>
        <v>2.6</v>
      </c>
      <c r="K56" s="72">
        <f t="shared" si="19"/>
        <v>1.277</v>
      </c>
    </row>
    <row r="57" ht="15.75" hidden="1" customHeight="1">
      <c r="A57" s="75" t="s">
        <v>152</v>
      </c>
      <c r="B57" s="70">
        <v>1000.0</v>
      </c>
      <c r="C57" s="46"/>
      <c r="D57" s="46">
        <v>3.0</v>
      </c>
      <c r="E57" s="45">
        <f t="shared" si="16"/>
        <v>1518</v>
      </c>
      <c r="F57" s="45">
        <v>3000.0</v>
      </c>
      <c r="G57" s="60"/>
      <c r="H57" s="71">
        <f t="shared" si="17"/>
        <v>2400</v>
      </c>
      <c r="I57" s="54">
        <f t="shared" si="21"/>
        <v>882</v>
      </c>
      <c r="J57" s="72">
        <f t="shared" si="18"/>
        <v>1.4</v>
      </c>
      <c r="K57" s="72">
        <f t="shared" si="19"/>
        <v>0.518</v>
      </c>
    </row>
    <row r="58" ht="15.75" hidden="1" customHeight="1">
      <c r="A58" s="78" t="s">
        <v>153</v>
      </c>
      <c r="B58" s="79">
        <v>4290.72</v>
      </c>
      <c r="C58" s="80"/>
      <c r="D58" s="80">
        <v>37.0</v>
      </c>
      <c r="E58" s="79">
        <f t="shared" si="16"/>
        <v>18722</v>
      </c>
      <c r="F58" s="79">
        <v>37000.0</v>
      </c>
      <c r="G58" s="78"/>
      <c r="H58" s="81">
        <f t="shared" si="17"/>
        <v>29600</v>
      </c>
      <c r="I58" s="82">
        <f t="shared" si="21"/>
        <v>10878</v>
      </c>
      <c r="J58" s="83">
        <f t="shared" si="18"/>
        <v>5.898609091</v>
      </c>
      <c r="K58" s="83">
        <f t="shared" si="19"/>
        <v>3.36337025</v>
      </c>
    </row>
    <row r="59" ht="15.75" hidden="1" customHeight="1">
      <c r="A59" s="75" t="s">
        <v>154</v>
      </c>
      <c r="B59" s="45">
        <v>7985.54</v>
      </c>
      <c r="C59" s="76">
        <f t="shared" ref="C59:C63" si="22">(D59/$C$64)*$B$64</f>
        <v>1677.018634</v>
      </c>
      <c r="D59" s="46">
        <v>20.0</v>
      </c>
      <c r="E59" s="45">
        <f t="shared" si="16"/>
        <v>10120</v>
      </c>
      <c r="F59" s="45">
        <v>20000.0</v>
      </c>
      <c r="G59" s="60"/>
      <c r="H59" s="71">
        <f t="shared" si="17"/>
        <v>16000</v>
      </c>
      <c r="I59" s="77">
        <f t="shared" ref="I59:I63" si="23">H59-E59+C59</f>
        <v>7557.018634</v>
      </c>
      <c r="J59" s="72">
        <f t="shared" si="18"/>
        <v>1.003621546</v>
      </c>
      <c r="K59" s="72">
        <f t="shared" si="19"/>
        <v>0.2672906278</v>
      </c>
    </row>
    <row r="60" ht="15.75" hidden="1" customHeight="1">
      <c r="A60" s="75" t="s">
        <v>155</v>
      </c>
      <c r="B60" s="45">
        <v>6095.0</v>
      </c>
      <c r="C60" s="76">
        <f t="shared" si="22"/>
        <v>2515.52795</v>
      </c>
      <c r="D60" s="46">
        <v>30.0</v>
      </c>
      <c r="E60" s="45">
        <f t="shared" si="16"/>
        <v>15180</v>
      </c>
      <c r="F60" s="45">
        <v>30000.0</v>
      </c>
      <c r="G60" s="60"/>
      <c r="H60" s="71">
        <f t="shared" si="17"/>
        <v>24000</v>
      </c>
      <c r="I60" s="77">
        <f t="shared" si="23"/>
        <v>11335.52795</v>
      </c>
      <c r="J60" s="72">
        <f t="shared" si="18"/>
        <v>2.937653815</v>
      </c>
      <c r="K60" s="72">
        <f t="shared" si="19"/>
        <v>1.490566038</v>
      </c>
    </row>
    <row r="61" ht="15.75" hidden="1" customHeight="1">
      <c r="A61" s="75" t="s">
        <v>156</v>
      </c>
      <c r="B61" s="45">
        <v>6095.0</v>
      </c>
      <c r="C61" s="76">
        <f t="shared" si="22"/>
        <v>3102.484472</v>
      </c>
      <c r="D61" s="46">
        <v>37.0</v>
      </c>
      <c r="E61" s="45">
        <f t="shared" si="16"/>
        <v>18722</v>
      </c>
      <c r="F61" s="45">
        <v>37000.0</v>
      </c>
      <c r="G61" s="60"/>
      <c r="H61" s="71">
        <f t="shared" si="17"/>
        <v>29600</v>
      </c>
      <c r="I61" s="77">
        <f t="shared" si="23"/>
        <v>13980.48447</v>
      </c>
      <c r="J61" s="72">
        <f t="shared" si="18"/>
        <v>3.856439705</v>
      </c>
      <c r="K61" s="72">
        <f t="shared" si="19"/>
        <v>2.071698113</v>
      </c>
    </row>
    <row r="62" ht="15.75" hidden="1" customHeight="1">
      <c r="A62" s="75" t="s">
        <v>157</v>
      </c>
      <c r="B62" s="45">
        <v>5635.0</v>
      </c>
      <c r="C62" s="76">
        <f t="shared" si="22"/>
        <v>2515.52795</v>
      </c>
      <c r="D62" s="46">
        <v>30.0</v>
      </c>
      <c r="E62" s="45">
        <f t="shared" si="16"/>
        <v>15180</v>
      </c>
      <c r="F62" s="45">
        <v>30000.0</v>
      </c>
      <c r="G62" s="60"/>
      <c r="H62" s="71">
        <f t="shared" si="17"/>
        <v>24000</v>
      </c>
      <c r="I62" s="77">
        <f t="shared" si="23"/>
        <v>11335.52795</v>
      </c>
      <c r="J62" s="72">
        <f t="shared" si="18"/>
        <v>3.259094942</v>
      </c>
      <c r="K62" s="72">
        <f t="shared" si="19"/>
        <v>1.693877551</v>
      </c>
    </row>
    <row r="63" ht="15.75" hidden="1" customHeight="1">
      <c r="A63" s="75" t="s">
        <v>158</v>
      </c>
      <c r="B63" s="45">
        <v>428.43</v>
      </c>
      <c r="C63" s="76">
        <f t="shared" si="22"/>
        <v>754.6583851</v>
      </c>
      <c r="D63" s="46">
        <v>9.0</v>
      </c>
      <c r="E63" s="45">
        <f t="shared" si="16"/>
        <v>4554</v>
      </c>
      <c r="F63" s="45">
        <v>9000.0</v>
      </c>
      <c r="G63" s="60"/>
      <c r="H63" s="71">
        <f t="shared" si="17"/>
        <v>7200</v>
      </c>
      <c r="I63" s="77">
        <f t="shared" si="23"/>
        <v>3400.658385</v>
      </c>
      <c r="J63" s="72">
        <f t="shared" si="18"/>
        <v>15.80554583</v>
      </c>
      <c r="K63" s="72">
        <f>I63/D63-1</f>
        <v>376.8509317</v>
      </c>
    </row>
    <row r="64" ht="15.75" hidden="1" customHeight="1">
      <c r="B64" s="45">
        <v>13500.0</v>
      </c>
      <c r="C64" s="46">
        <f>D59+D60+D61+D62+D63+D55+D44</f>
        <v>161</v>
      </c>
      <c r="D64" s="46"/>
      <c r="E64" s="45"/>
      <c r="F64" s="45"/>
      <c r="G64" s="71"/>
      <c r="H64" s="71"/>
      <c r="I64" s="74">
        <f>I44+I55+I59+I60+I61+I62+I63</f>
        <v>60834</v>
      </c>
      <c r="J64" s="72"/>
      <c r="K64" s="72"/>
    </row>
    <row r="65" ht="15.75" hidden="1" customHeight="1">
      <c r="B65" s="45"/>
      <c r="C65" s="46"/>
      <c r="D65" s="46"/>
      <c r="E65" s="45"/>
      <c r="F65" s="45"/>
      <c r="G65" s="71"/>
      <c r="H65" s="71"/>
      <c r="I65" s="54"/>
      <c r="J65" s="72"/>
      <c r="K65" s="72"/>
    </row>
    <row r="66" ht="15.75" hidden="1" customHeight="1">
      <c r="A66" s="57" t="s">
        <v>159</v>
      </c>
      <c r="B66" s="45"/>
      <c r="C66" s="46"/>
      <c r="D66" s="46"/>
      <c r="E66" s="45"/>
      <c r="F66" s="45"/>
      <c r="G66" s="71"/>
      <c r="H66" s="71"/>
      <c r="I66" s="54"/>
      <c r="J66" s="72"/>
      <c r="K66" s="72"/>
      <c r="L66" s="52" t="s">
        <v>112</v>
      </c>
      <c r="M66" s="52">
        <v>642.0</v>
      </c>
    </row>
    <row r="67" ht="15.75" hidden="1" customHeight="1">
      <c r="A67" s="53" t="s">
        <v>160</v>
      </c>
      <c r="B67" s="45">
        <f>19657.61</f>
        <v>19657.61</v>
      </c>
      <c r="C67" s="46">
        <v>6750.0</v>
      </c>
      <c r="D67" s="46">
        <v>30.0</v>
      </c>
      <c r="E67" s="45">
        <f>D67*M43</f>
        <v>15180</v>
      </c>
      <c r="F67" s="45">
        <v>30000.0</v>
      </c>
      <c r="G67" s="60"/>
      <c r="H67" s="71">
        <f>B67*1.15</f>
        <v>22606.2515</v>
      </c>
      <c r="I67" s="74">
        <f>H67-E67+C67</f>
        <v>14176.2515</v>
      </c>
      <c r="J67" s="72">
        <f>H67/B67-1</f>
        <v>0.15</v>
      </c>
      <c r="K67" s="72">
        <f>E67/B67-1</f>
        <v>-0.2277799794</v>
      </c>
      <c r="L67" s="53" t="s">
        <v>114</v>
      </c>
      <c r="M67" s="55">
        <v>0.8</v>
      </c>
    </row>
    <row r="68" ht="15.75" hidden="1" customHeight="1">
      <c r="B68" s="45"/>
      <c r="C68" s="46"/>
      <c r="D68" s="46"/>
      <c r="E68" s="45"/>
      <c r="F68" s="45"/>
      <c r="G68" s="60"/>
      <c r="H68" s="60"/>
      <c r="I68" s="60"/>
      <c r="L68" s="53" t="s">
        <v>114</v>
      </c>
      <c r="M68" s="55">
        <v>0.9</v>
      </c>
    </row>
    <row r="69" ht="15.75" hidden="1" customHeight="1">
      <c r="B69" s="45"/>
      <c r="C69" s="46"/>
      <c r="D69" s="46"/>
      <c r="E69" s="45"/>
      <c r="F69" s="45"/>
      <c r="G69" s="60"/>
      <c r="H69" s="60"/>
      <c r="I69" s="60"/>
    </row>
    <row r="70" ht="15.75" hidden="1" customHeight="1">
      <c r="A70" s="57" t="s">
        <v>161</v>
      </c>
      <c r="B70" s="49" t="s">
        <v>108</v>
      </c>
      <c r="C70" s="46">
        <v>6750.0</v>
      </c>
      <c r="D70" s="50" t="s">
        <v>109</v>
      </c>
      <c r="E70" s="49" t="s">
        <v>110</v>
      </c>
      <c r="F70" s="49" t="s">
        <v>9</v>
      </c>
      <c r="G70" s="51"/>
      <c r="H70" s="51" t="s">
        <v>10</v>
      </c>
      <c r="I70" s="51" t="s">
        <v>111</v>
      </c>
    </row>
    <row r="71" ht="15.75" hidden="1" customHeight="1">
      <c r="A71" s="53" t="s">
        <v>162</v>
      </c>
      <c r="B71" s="45">
        <v>13650.0</v>
      </c>
      <c r="D71" s="46">
        <v>47.0</v>
      </c>
      <c r="E71" s="45">
        <f>D71*M66</f>
        <v>30174</v>
      </c>
      <c r="F71" s="45">
        <v>73000.0</v>
      </c>
      <c r="G71" s="71"/>
      <c r="H71" s="71">
        <v>65000.0</v>
      </c>
      <c r="I71" s="74">
        <f>H71-E71</f>
        <v>34826</v>
      </c>
      <c r="J71" s="72">
        <f>H71/B71-1</f>
        <v>3.761904762</v>
      </c>
      <c r="K71" s="72">
        <f>E71/B71-1</f>
        <v>1.210549451</v>
      </c>
      <c r="L71" s="53" t="s">
        <v>114</v>
      </c>
      <c r="M71" s="55">
        <v>0.8</v>
      </c>
    </row>
    <row r="72" ht="15.75" hidden="1" customHeight="1">
      <c r="B72" s="45"/>
      <c r="C72" s="46"/>
      <c r="D72" s="46"/>
      <c r="E72" s="45"/>
      <c r="F72" s="45"/>
      <c r="G72" s="60"/>
      <c r="H72" s="60"/>
      <c r="I72" s="74"/>
      <c r="J72" s="72"/>
      <c r="K72" s="72"/>
      <c r="M72" s="55"/>
    </row>
    <row r="73" ht="15.75" hidden="1" customHeight="1">
      <c r="A73" s="57" t="s">
        <v>163</v>
      </c>
      <c r="B73" s="49" t="s">
        <v>108</v>
      </c>
      <c r="C73" s="50"/>
      <c r="D73" s="50" t="s">
        <v>109</v>
      </c>
      <c r="E73" s="49" t="s">
        <v>110</v>
      </c>
      <c r="F73" s="49" t="s">
        <v>9</v>
      </c>
      <c r="G73" s="51"/>
      <c r="H73" s="51" t="s">
        <v>10</v>
      </c>
      <c r="I73" s="51" t="s">
        <v>111</v>
      </c>
      <c r="J73" s="72"/>
      <c r="K73" s="72"/>
      <c r="M73" s="55"/>
    </row>
    <row r="74" ht="15.75" hidden="1" customHeight="1">
      <c r="A74" s="57"/>
      <c r="B74" s="49"/>
      <c r="C74" s="50"/>
      <c r="D74" s="50"/>
      <c r="E74" s="49"/>
      <c r="F74" s="49"/>
      <c r="G74" s="84"/>
      <c r="H74" s="84"/>
      <c r="I74" s="84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 ht="15.75" hidden="1" customHeight="1">
      <c r="A75" s="53" t="s">
        <v>164</v>
      </c>
      <c r="B75" s="45">
        <f>30094.53</f>
        <v>30094.53</v>
      </c>
      <c r="C75" s="46">
        <v>13500.0</v>
      </c>
      <c r="D75" s="46">
        <v>96.0</v>
      </c>
      <c r="E75" s="45">
        <f>D75*M73</f>
        <v>0</v>
      </c>
      <c r="F75" s="45">
        <v>120000.0</v>
      </c>
      <c r="G75" s="60"/>
      <c r="H75" s="71">
        <f>F75*M75</f>
        <v>0</v>
      </c>
      <c r="I75" s="74">
        <f>H75-E75+C75</f>
        <v>13500</v>
      </c>
      <c r="J75" s="72"/>
      <c r="K75" s="72"/>
      <c r="M75" s="55"/>
    </row>
    <row r="76" ht="15.75" hidden="1" customHeight="1">
      <c r="B76" s="45"/>
      <c r="C76" s="46"/>
      <c r="D76" s="46"/>
      <c r="E76" s="45"/>
      <c r="F76" s="45"/>
      <c r="G76" s="60"/>
      <c r="H76" s="60"/>
      <c r="I76" s="74"/>
      <c r="J76" s="72"/>
      <c r="K76" s="72"/>
      <c r="M76" s="55"/>
    </row>
    <row r="77" ht="15.75" hidden="1" customHeight="1">
      <c r="A77" s="85" t="s">
        <v>165</v>
      </c>
      <c r="B77" s="86" t="s">
        <v>166</v>
      </c>
      <c r="C77" s="87"/>
      <c r="D77" s="87" t="s">
        <v>109</v>
      </c>
      <c r="E77" s="86" t="s">
        <v>110</v>
      </c>
      <c r="F77" s="86" t="s">
        <v>9</v>
      </c>
      <c r="G77" s="87"/>
      <c r="H77" s="87" t="s">
        <v>10</v>
      </c>
      <c r="I77" s="87" t="s">
        <v>111</v>
      </c>
      <c r="J77" s="88"/>
      <c r="K77" s="72"/>
      <c r="L77" s="52" t="s">
        <v>112</v>
      </c>
      <c r="M77" s="52">
        <v>642.0</v>
      </c>
    </row>
    <row r="78" ht="15.75" hidden="1" customHeight="1">
      <c r="A78" s="89" t="s">
        <v>167</v>
      </c>
      <c r="B78" s="90">
        <v>524.25</v>
      </c>
      <c r="C78" s="91"/>
      <c r="D78" s="91">
        <v>4.0</v>
      </c>
      <c r="E78" s="90">
        <f t="shared" ref="E78:E86" si="24">D78*$M$77</f>
        <v>2568</v>
      </c>
      <c r="F78" s="90">
        <v>12000.0</v>
      </c>
      <c r="G78" s="89"/>
      <c r="H78" s="92">
        <f t="shared" ref="H78:H88" si="25">F78*$M$78</f>
        <v>9180</v>
      </c>
      <c r="I78" s="93"/>
      <c r="J78" s="88">
        <f t="shared" ref="J78:J88" si="26">E78/SUM(B78:C78)-1</f>
        <v>3.898426323</v>
      </c>
      <c r="K78" s="72"/>
      <c r="M78" s="72">
        <v>0.765</v>
      </c>
    </row>
    <row r="79" ht="15.75" hidden="1" customHeight="1">
      <c r="A79" s="89" t="s">
        <v>168</v>
      </c>
      <c r="B79" s="90">
        <v>5997.0</v>
      </c>
      <c r="C79" s="90">
        <f t="shared" ref="C79:C88" si="27">(D79/$C$89)*$B$89</f>
        <v>748.3370288</v>
      </c>
      <c r="D79" s="91">
        <v>25.0</v>
      </c>
      <c r="E79" s="90">
        <f t="shared" si="24"/>
        <v>16050</v>
      </c>
      <c r="F79" s="90">
        <v>25000.0</v>
      </c>
      <c r="G79" s="89"/>
      <c r="H79" s="92">
        <f t="shared" si="25"/>
        <v>19125</v>
      </c>
      <c r="I79" s="94">
        <f t="shared" ref="I79:I88" si="28">H79-E79+C79</f>
        <v>3823.337029</v>
      </c>
      <c r="J79" s="88">
        <f t="shared" si="26"/>
        <v>1.379421507</v>
      </c>
      <c r="K79" s="72"/>
      <c r="M79" s="55"/>
    </row>
    <row r="80" ht="15.75" hidden="1" customHeight="1">
      <c r="A80" s="89" t="s">
        <v>169</v>
      </c>
      <c r="B80" s="90">
        <v>7380.0</v>
      </c>
      <c r="C80" s="90">
        <f t="shared" si="27"/>
        <v>898.0044346</v>
      </c>
      <c r="D80" s="91">
        <v>30.0</v>
      </c>
      <c r="E80" s="90">
        <f t="shared" si="24"/>
        <v>19260</v>
      </c>
      <c r="F80" s="90">
        <v>30000.0</v>
      </c>
      <c r="G80" s="89"/>
      <c r="H80" s="92">
        <f t="shared" si="25"/>
        <v>22950</v>
      </c>
      <c r="I80" s="94">
        <f t="shared" si="28"/>
        <v>4588.004435</v>
      </c>
      <c r="J80" s="88">
        <f t="shared" si="26"/>
        <v>1.326647703</v>
      </c>
      <c r="K80" s="72"/>
      <c r="M80" s="55"/>
    </row>
    <row r="81" ht="15.75" hidden="1" customHeight="1">
      <c r="A81" s="95" t="s">
        <v>170</v>
      </c>
      <c r="B81" s="90">
        <v>7380.0</v>
      </c>
      <c r="C81" s="90">
        <f t="shared" si="27"/>
        <v>898.0044346</v>
      </c>
      <c r="D81" s="91">
        <v>30.0</v>
      </c>
      <c r="E81" s="90">
        <f t="shared" si="24"/>
        <v>19260</v>
      </c>
      <c r="F81" s="90">
        <v>30000.0</v>
      </c>
      <c r="G81" s="89"/>
      <c r="H81" s="92">
        <f t="shared" si="25"/>
        <v>22950</v>
      </c>
      <c r="I81" s="94">
        <f t="shared" si="28"/>
        <v>4588.004435</v>
      </c>
      <c r="J81" s="88">
        <f t="shared" si="26"/>
        <v>1.326647703</v>
      </c>
      <c r="K81" s="72"/>
      <c r="M81" s="55"/>
    </row>
    <row r="82" ht="15.75" hidden="1" customHeight="1">
      <c r="A82" s="89" t="s">
        <v>171</v>
      </c>
      <c r="B82" s="90">
        <v>3875.5</v>
      </c>
      <c r="C82" s="90">
        <f t="shared" si="27"/>
        <v>538.8026608</v>
      </c>
      <c r="D82" s="91">
        <v>18.0</v>
      </c>
      <c r="E82" s="90">
        <f t="shared" si="24"/>
        <v>11556</v>
      </c>
      <c r="F82" s="90">
        <v>18000.0</v>
      </c>
      <c r="G82" s="89"/>
      <c r="H82" s="92">
        <f t="shared" si="25"/>
        <v>13770</v>
      </c>
      <c r="I82" s="94">
        <f t="shared" si="28"/>
        <v>2752.802661</v>
      </c>
      <c r="J82" s="88">
        <f t="shared" si="26"/>
        <v>1.617854028</v>
      </c>
      <c r="K82" s="72"/>
      <c r="M82" s="55"/>
    </row>
    <row r="83" ht="15.75" hidden="1" customHeight="1">
      <c r="A83" s="96" t="s">
        <v>172</v>
      </c>
      <c r="B83" s="90">
        <v>3875.5</v>
      </c>
      <c r="C83" s="90">
        <f t="shared" si="27"/>
        <v>538.8026608</v>
      </c>
      <c r="D83" s="91">
        <v>18.0</v>
      </c>
      <c r="E83" s="90">
        <f t="shared" si="24"/>
        <v>11556</v>
      </c>
      <c r="F83" s="90">
        <v>18000.0</v>
      </c>
      <c r="G83" s="89"/>
      <c r="H83" s="92">
        <f t="shared" si="25"/>
        <v>13770</v>
      </c>
      <c r="I83" s="94">
        <f t="shared" si="28"/>
        <v>2752.802661</v>
      </c>
      <c r="J83" s="88">
        <f t="shared" si="26"/>
        <v>1.617854028</v>
      </c>
      <c r="K83" s="72"/>
      <c r="M83" s="55"/>
    </row>
    <row r="84" ht="15.75" hidden="1" customHeight="1">
      <c r="A84" s="89" t="s">
        <v>173</v>
      </c>
      <c r="B84" s="90">
        <v>19720.0</v>
      </c>
      <c r="C84" s="90">
        <f t="shared" si="27"/>
        <v>2843.68071</v>
      </c>
      <c r="D84" s="91">
        <v>95.0</v>
      </c>
      <c r="E84" s="90">
        <f t="shared" si="24"/>
        <v>60990</v>
      </c>
      <c r="F84" s="90">
        <v>95000.0</v>
      </c>
      <c r="G84" s="89"/>
      <c r="H84" s="92">
        <f t="shared" si="25"/>
        <v>72675</v>
      </c>
      <c r="I84" s="94">
        <f t="shared" si="28"/>
        <v>14528.68071</v>
      </c>
      <c r="J84" s="88">
        <f t="shared" si="26"/>
        <v>1.703016444</v>
      </c>
      <c r="K84" s="72"/>
      <c r="M84" s="55"/>
    </row>
    <row r="85" ht="15.75" hidden="1" customHeight="1">
      <c r="A85" s="89" t="s">
        <v>174</v>
      </c>
      <c r="B85" s="90">
        <v>3403.5</v>
      </c>
      <c r="C85" s="90">
        <f t="shared" si="27"/>
        <v>898.0044346</v>
      </c>
      <c r="D85" s="91">
        <v>30.0</v>
      </c>
      <c r="E85" s="90">
        <f t="shared" si="24"/>
        <v>19260</v>
      </c>
      <c r="F85" s="90">
        <v>30000.0</v>
      </c>
      <c r="G85" s="89"/>
      <c r="H85" s="92">
        <f t="shared" si="25"/>
        <v>22950</v>
      </c>
      <c r="I85" s="94">
        <f t="shared" si="28"/>
        <v>4588.004435</v>
      </c>
      <c r="J85" s="88">
        <f t="shared" si="26"/>
        <v>3.47750323</v>
      </c>
      <c r="K85" s="72"/>
      <c r="M85" s="55"/>
    </row>
    <row r="86" ht="15.75" hidden="1" customHeight="1">
      <c r="A86" s="89" t="s">
        <v>175</v>
      </c>
      <c r="B86" s="90">
        <v>10717.2</v>
      </c>
      <c r="C86" s="90">
        <f t="shared" si="27"/>
        <v>1347.006652</v>
      </c>
      <c r="D86" s="91">
        <v>45.0</v>
      </c>
      <c r="E86" s="90">
        <f t="shared" si="24"/>
        <v>28890</v>
      </c>
      <c r="F86" s="90">
        <v>45000.0</v>
      </c>
      <c r="G86" s="89"/>
      <c r="H86" s="92">
        <f t="shared" si="25"/>
        <v>34425</v>
      </c>
      <c r="I86" s="94">
        <f t="shared" si="28"/>
        <v>6882.006652</v>
      </c>
      <c r="J86" s="88">
        <f t="shared" si="26"/>
        <v>1.394687097</v>
      </c>
      <c r="K86" s="72"/>
      <c r="M86" s="55"/>
    </row>
    <row r="87" ht="15.75" hidden="1" customHeight="1">
      <c r="A87" s="89" t="s">
        <v>176</v>
      </c>
      <c r="B87" s="90">
        <v>11680.61</v>
      </c>
      <c r="C87" s="90">
        <f t="shared" si="27"/>
        <v>2544.345898</v>
      </c>
      <c r="D87" s="91">
        <v>85.0</v>
      </c>
      <c r="E87" s="90">
        <f>D87*M77</f>
        <v>54570</v>
      </c>
      <c r="F87" s="90">
        <v>85000.0</v>
      </c>
      <c r="G87" s="89"/>
      <c r="H87" s="92">
        <f t="shared" si="25"/>
        <v>65025</v>
      </c>
      <c r="I87" s="94">
        <f t="shared" si="28"/>
        <v>12999.3459</v>
      </c>
      <c r="J87" s="88">
        <f t="shared" si="26"/>
        <v>2.83621576</v>
      </c>
      <c r="K87" s="72"/>
      <c r="M87" s="55"/>
    </row>
    <row r="88" ht="15.75" hidden="1" customHeight="1">
      <c r="A88" s="89" t="s">
        <v>177</v>
      </c>
      <c r="B88" s="90">
        <v>19719.15</v>
      </c>
      <c r="C88" s="90">
        <f t="shared" si="27"/>
        <v>2245.011086</v>
      </c>
      <c r="D88" s="91">
        <v>75.0</v>
      </c>
      <c r="E88" s="90">
        <f>D88*$M$77</f>
        <v>48150</v>
      </c>
      <c r="F88" s="90">
        <v>75000.0</v>
      </c>
      <c r="G88" s="89"/>
      <c r="H88" s="92">
        <f t="shared" si="25"/>
        <v>57375</v>
      </c>
      <c r="I88" s="94">
        <f t="shared" si="28"/>
        <v>11470.01109</v>
      </c>
      <c r="J88" s="88">
        <f t="shared" si="26"/>
        <v>1.192207561</v>
      </c>
      <c r="K88" s="72"/>
      <c r="M88" s="55"/>
    </row>
    <row r="89" ht="15.75" hidden="1" customHeight="1">
      <c r="B89" s="45">
        <v>13500.0</v>
      </c>
      <c r="C89" s="46">
        <f>D79+D80+D81+D82+D83+D84+D85+D86+D87+D88</f>
        <v>451</v>
      </c>
      <c r="D89" s="46"/>
      <c r="E89" s="45"/>
      <c r="F89" s="45"/>
      <c r="G89" s="60"/>
      <c r="H89" s="60"/>
      <c r="I89" s="74">
        <f>SUM(I78:I88)</f>
        <v>68973</v>
      </c>
      <c r="J89" s="72"/>
    </row>
    <row r="90" ht="15.75" hidden="1" customHeight="1">
      <c r="A90" s="57" t="s">
        <v>178</v>
      </c>
      <c r="B90" s="49" t="s">
        <v>108</v>
      </c>
      <c r="C90" s="50"/>
      <c r="D90" s="50" t="s">
        <v>109</v>
      </c>
      <c r="E90" s="49" t="s">
        <v>110</v>
      </c>
      <c r="F90" s="49" t="s">
        <v>9</v>
      </c>
      <c r="G90" s="51"/>
      <c r="H90" s="51" t="s">
        <v>10</v>
      </c>
      <c r="I90" s="51" t="s">
        <v>111</v>
      </c>
      <c r="J90" s="53" t="s">
        <v>179</v>
      </c>
      <c r="L90" s="52" t="s">
        <v>112</v>
      </c>
      <c r="M90" s="52">
        <v>355.0</v>
      </c>
    </row>
    <row r="91" ht="15.75" hidden="1" customHeight="1">
      <c r="A91" s="53" t="s">
        <v>180</v>
      </c>
      <c r="B91" s="45">
        <v>5473.3</v>
      </c>
      <c r="C91" s="46">
        <f>6500/2</f>
        <v>3250</v>
      </c>
      <c r="D91" s="46">
        <v>30.0</v>
      </c>
      <c r="E91" s="45">
        <f>D91*M90</f>
        <v>10650</v>
      </c>
      <c r="F91" s="45">
        <v>30000.0</v>
      </c>
      <c r="G91" s="60"/>
      <c r="H91" s="71">
        <f>F91*0.7</f>
        <v>21000</v>
      </c>
      <c r="I91" s="74">
        <f>H91-E91</f>
        <v>10350</v>
      </c>
    </row>
    <row r="92" ht="15.75" hidden="1" customHeight="1">
      <c r="A92" s="53" t="s">
        <v>181</v>
      </c>
      <c r="B92" s="45">
        <v>818.73</v>
      </c>
      <c r="C92" s="46">
        <f>C91/2</f>
        <v>1625</v>
      </c>
      <c r="D92" s="46">
        <v>5.0</v>
      </c>
      <c r="E92" s="45">
        <f>D92*M90</f>
        <v>1775</v>
      </c>
      <c r="F92" s="45">
        <v>5000.0</v>
      </c>
      <c r="G92" s="60"/>
      <c r="H92" s="60"/>
      <c r="I92" s="60"/>
    </row>
    <row r="93" ht="15.75" hidden="1" customHeight="1">
      <c r="A93" s="53" t="s">
        <v>182</v>
      </c>
      <c r="B93" s="45">
        <v>818.73</v>
      </c>
      <c r="C93" s="46">
        <v>1625.0</v>
      </c>
      <c r="D93" s="46">
        <v>5.0</v>
      </c>
      <c r="E93" s="45">
        <f>D93*M90</f>
        <v>1775</v>
      </c>
      <c r="F93" s="45">
        <v>5000.0</v>
      </c>
      <c r="G93" s="60"/>
      <c r="H93" s="60"/>
      <c r="I93" s="60"/>
    </row>
    <row r="94" ht="15.75" hidden="1" customHeight="1">
      <c r="B94" s="45"/>
      <c r="C94" s="46"/>
      <c r="D94" s="46"/>
      <c r="E94" s="45"/>
      <c r="F94" s="45"/>
      <c r="G94" s="60"/>
      <c r="H94" s="60"/>
      <c r="I94" s="60"/>
    </row>
    <row r="95" ht="15.75" hidden="1" customHeight="1">
      <c r="B95" s="45"/>
      <c r="C95" s="46"/>
      <c r="D95" s="46"/>
      <c r="E95" s="45"/>
      <c r="F95" s="45"/>
      <c r="G95" s="60"/>
      <c r="H95" s="60"/>
      <c r="I95" s="60"/>
    </row>
    <row r="96" ht="15.75" hidden="1" customHeight="1">
      <c r="A96" s="50" t="s">
        <v>183</v>
      </c>
      <c r="B96" s="49" t="s">
        <v>108</v>
      </c>
      <c r="C96" s="50"/>
      <c r="D96" s="50" t="s">
        <v>109</v>
      </c>
      <c r="E96" s="49" t="s">
        <v>110</v>
      </c>
      <c r="F96" s="49" t="s">
        <v>9</v>
      </c>
      <c r="G96" s="51"/>
      <c r="H96" s="51" t="s">
        <v>10</v>
      </c>
      <c r="I96" s="51" t="s">
        <v>111</v>
      </c>
      <c r="J96" s="53" t="s">
        <v>179</v>
      </c>
      <c r="L96" s="52" t="s">
        <v>112</v>
      </c>
      <c r="M96" s="52">
        <v>355.0</v>
      </c>
    </row>
    <row r="97" ht="15.75" hidden="1" customHeight="1">
      <c r="A97" s="53" t="s">
        <v>184</v>
      </c>
      <c r="B97" s="45"/>
      <c r="C97" s="46"/>
      <c r="D97" s="46">
        <v>1.5</v>
      </c>
      <c r="E97" s="45">
        <f t="shared" ref="E97:E112" si="29">D97*$M$96</f>
        <v>532.5</v>
      </c>
      <c r="F97" s="45">
        <v>1500.0</v>
      </c>
      <c r="G97" s="60"/>
      <c r="H97" s="71">
        <f t="shared" ref="H97:H112" si="30">F97*$M$97</f>
        <v>1200</v>
      </c>
      <c r="I97" s="71">
        <f t="shared" ref="I97:I112" si="31">H97-E97+C97</f>
        <v>667.5</v>
      </c>
      <c r="M97" s="55">
        <v>0.8</v>
      </c>
    </row>
    <row r="98" ht="15.75" hidden="1" customHeight="1">
      <c r="A98" s="53" t="s">
        <v>147</v>
      </c>
      <c r="B98" s="45"/>
      <c r="C98" s="46"/>
      <c r="D98" s="46">
        <v>1.5</v>
      </c>
      <c r="E98" s="45">
        <f t="shared" si="29"/>
        <v>532.5</v>
      </c>
      <c r="F98" s="45">
        <v>1500.0</v>
      </c>
      <c r="G98" s="60"/>
      <c r="H98" s="71">
        <f t="shared" si="30"/>
        <v>1200</v>
      </c>
      <c r="I98" s="71">
        <f t="shared" si="31"/>
        <v>667.5</v>
      </c>
    </row>
    <row r="99" ht="15.75" hidden="1" customHeight="1">
      <c r="A99" s="53" t="s">
        <v>185</v>
      </c>
      <c r="B99" s="45"/>
      <c r="C99" s="46"/>
      <c r="D99" s="46">
        <v>3.0</v>
      </c>
      <c r="E99" s="45">
        <f t="shared" si="29"/>
        <v>1065</v>
      </c>
      <c r="F99" s="45">
        <v>3000.0</v>
      </c>
      <c r="G99" s="60"/>
      <c r="H99" s="71">
        <f t="shared" si="30"/>
        <v>2400</v>
      </c>
      <c r="I99" s="71">
        <f t="shared" si="31"/>
        <v>1335</v>
      </c>
    </row>
    <row r="100" ht="15.75" hidden="1" customHeight="1">
      <c r="A100" s="53" t="s">
        <v>136</v>
      </c>
      <c r="B100" s="45"/>
      <c r="C100" s="46"/>
      <c r="D100" s="46">
        <v>1.5</v>
      </c>
      <c r="E100" s="45">
        <f t="shared" si="29"/>
        <v>532.5</v>
      </c>
      <c r="F100" s="45">
        <v>1500.0</v>
      </c>
      <c r="G100" s="60"/>
      <c r="H100" s="71">
        <f t="shared" si="30"/>
        <v>1200</v>
      </c>
      <c r="I100" s="71">
        <f t="shared" si="31"/>
        <v>667.5</v>
      </c>
    </row>
    <row r="101" ht="15.75" hidden="1" customHeight="1">
      <c r="A101" s="53" t="s">
        <v>129</v>
      </c>
      <c r="B101" s="45"/>
      <c r="C101" s="46"/>
      <c r="D101" s="46">
        <v>5.0</v>
      </c>
      <c r="E101" s="45">
        <f t="shared" si="29"/>
        <v>1775</v>
      </c>
      <c r="F101" s="45">
        <v>5000.0</v>
      </c>
      <c r="G101" s="60"/>
      <c r="H101" s="71">
        <f t="shared" si="30"/>
        <v>4000</v>
      </c>
      <c r="I101" s="71">
        <f t="shared" si="31"/>
        <v>2225</v>
      </c>
    </row>
    <row r="102" ht="15.75" hidden="1" customHeight="1">
      <c r="A102" s="53" t="s">
        <v>186</v>
      </c>
      <c r="B102" s="45"/>
      <c r="C102" s="46"/>
      <c r="D102" s="46">
        <v>5.0</v>
      </c>
      <c r="E102" s="45">
        <f t="shared" si="29"/>
        <v>1775</v>
      </c>
      <c r="F102" s="45">
        <v>5000.0</v>
      </c>
      <c r="G102" s="60"/>
      <c r="H102" s="71">
        <f t="shared" si="30"/>
        <v>4000</v>
      </c>
      <c r="I102" s="71">
        <f t="shared" si="31"/>
        <v>2225</v>
      </c>
    </row>
    <row r="103" ht="15.75" hidden="1" customHeight="1">
      <c r="A103" s="53" t="s">
        <v>187</v>
      </c>
      <c r="B103" s="45"/>
      <c r="C103" s="46"/>
      <c r="D103" s="46">
        <v>2.5</v>
      </c>
      <c r="E103" s="45">
        <f t="shared" si="29"/>
        <v>887.5</v>
      </c>
      <c r="F103" s="45">
        <v>2500.0</v>
      </c>
      <c r="G103" s="60"/>
      <c r="H103" s="71">
        <f t="shared" si="30"/>
        <v>2000</v>
      </c>
      <c r="I103" s="71">
        <f t="shared" si="31"/>
        <v>1112.5</v>
      </c>
    </row>
    <row r="104" ht="15.75" hidden="1" customHeight="1">
      <c r="A104" s="53" t="s">
        <v>188</v>
      </c>
      <c r="B104" s="45"/>
      <c r="C104" s="46"/>
      <c r="D104" s="46">
        <v>1.5</v>
      </c>
      <c r="E104" s="45">
        <f t="shared" si="29"/>
        <v>532.5</v>
      </c>
      <c r="F104" s="45">
        <v>1500.0</v>
      </c>
      <c r="G104" s="60"/>
      <c r="H104" s="71">
        <f t="shared" si="30"/>
        <v>1200</v>
      </c>
      <c r="I104" s="71">
        <f t="shared" si="31"/>
        <v>667.5</v>
      </c>
    </row>
    <row r="105" ht="15.75" hidden="1" customHeight="1">
      <c r="A105" s="53" t="s">
        <v>189</v>
      </c>
      <c r="B105" s="45">
        <v>1021.23</v>
      </c>
      <c r="C105" s="46"/>
      <c r="D105" s="46">
        <v>18.0</v>
      </c>
      <c r="E105" s="45">
        <f t="shared" si="29"/>
        <v>6390</v>
      </c>
      <c r="F105" s="45">
        <v>18000.0</v>
      </c>
      <c r="G105" s="71"/>
      <c r="H105" s="71">
        <f t="shared" si="30"/>
        <v>14400</v>
      </c>
      <c r="I105" s="71">
        <f t="shared" si="31"/>
        <v>8010</v>
      </c>
    </row>
    <row r="106" ht="15.75" hidden="1" customHeight="1">
      <c r="A106" s="53" t="s">
        <v>151</v>
      </c>
      <c r="B106" s="45"/>
      <c r="C106" s="45"/>
      <c r="D106" s="46">
        <v>4.5</v>
      </c>
      <c r="E106" s="45">
        <f t="shared" si="29"/>
        <v>1597.5</v>
      </c>
      <c r="F106" s="45">
        <v>4500.0</v>
      </c>
      <c r="G106" s="60"/>
      <c r="H106" s="71">
        <f t="shared" si="30"/>
        <v>3600</v>
      </c>
      <c r="I106" s="71">
        <f t="shared" si="31"/>
        <v>2002.5</v>
      </c>
    </row>
    <row r="107" ht="15.75" hidden="1" customHeight="1">
      <c r="A107" s="97" t="s">
        <v>190</v>
      </c>
      <c r="B107" s="98">
        <v>11151.38</v>
      </c>
      <c r="C107" s="45">
        <f>D107/$D$113*$C$113</f>
        <v>3375</v>
      </c>
      <c r="D107" s="46">
        <v>25.0</v>
      </c>
      <c r="E107" s="45">
        <f t="shared" si="29"/>
        <v>8875</v>
      </c>
      <c r="F107" s="45">
        <v>25000.0</v>
      </c>
      <c r="G107" s="60"/>
      <c r="H107" s="71">
        <f t="shared" si="30"/>
        <v>20000</v>
      </c>
      <c r="I107" s="99">
        <f t="shared" si="31"/>
        <v>14500</v>
      </c>
    </row>
    <row r="108" ht="15.75" hidden="1" customHeight="1">
      <c r="A108" s="53" t="s">
        <v>191</v>
      </c>
      <c r="B108" s="45">
        <v>802.89</v>
      </c>
      <c r="C108" s="46"/>
      <c r="D108" s="46">
        <v>12.0</v>
      </c>
      <c r="E108" s="45">
        <f t="shared" si="29"/>
        <v>4260</v>
      </c>
      <c r="F108" s="45">
        <v>12000.0</v>
      </c>
      <c r="G108" s="71"/>
      <c r="H108" s="71">
        <f t="shared" si="30"/>
        <v>9600</v>
      </c>
      <c r="I108" s="71">
        <f t="shared" si="31"/>
        <v>5340</v>
      </c>
    </row>
    <row r="109" ht="15.75" hidden="1" customHeight="1">
      <c r="A109" s="53" t="s">
        <v>192</v>
      </c>
      <c r="B109" s="45">
        <v>1182.59</v>
      </c>
      <c r="C109" s="46"/>
      <c r="D109" s="46">
        <v>10.0</v>
      </c>
      <c r="E109" s="45">
        <f t="shared" si="29"/>
        <v>3550</v>
      </c>
      <c r="F109" s="45">
        <v>10000.0</v>
      </c>
      <c r="G109" s="71"/>
      <c r="H109" s="71">
        <f t="shared" si="30"/>
        <v>8000</v>
      </c>
      <c r="I109" s="71">
        <f t="shared" si="31"/>
        <v>4450</v>
      </c>
    </row>
    <row r="110" ht="15.75" hidden="1" customHeight="1">
      <c r="A110" s="97" t="s">
        <v>193</v>
      </c>
      <c r="B110" s="98">
        <v>18900.48</v>
      </c>
      <c r="C110" s="45">
        <f>D110/$D$113*$C$113</f>
        <v>3375</v>
      </c>
      <c r="D110" s="46">
        <v>25.0</v>
      </c>
      <c r="E110" s="45">
        <f t="shared" si="29"/>
        <v>8875</v>
      </c>
      <c r="F110" s="45">
        <v>25000.0</v>
      </c>
      <c r="G110" s="60"/>
      <c r="H110" s="71">
        <f t="shared" si="30"/>
        <v>20000</v>
      </c>
      <c r="I110" s="99">
        <f t="shared" si="31"/>
        <v>14500</v>
      </c>
    </row>
    <row r="111" ht="15.75" hidden="1" customHeight="1">
      <c r="A111" s="53" t="s">
        <v>194</v>
      </c>
      <c r="B111" s="45">
        <v>1134.29</v>
      </c>
      <c r="C111" s="46"/>
      <c r="D111" s="46">
        <v>12.0</v>
      </c>
      <c r="E111" s="45">
        <f t="shared" si="29"/>
        <v>4260</v>
      </c>
      <c r="F111" s="45">
        <v>12000.0</v>
      </c>
      <c r="G111" s="71"/>
      <c r="H111" s="71">
        <f t="shared" si="30"/>
        <v>9600</v>
      </c>
      <c r="I111" s="71">
        <f t="shared" si="31"/>
        <v>5340</v>
      </c>
    </row>
    <row r="112" ht="15.75" hidden="1" customHeight="1">
      <c r="A112" s="53" t="s">
        <v>195</v>
      </c>
      <c r="B112" s="45"/>
      <c r="C112" s="45"/>
      <c r="D112" s="46">
        <v>3.5</v>
      </c>
      <c r="E112" s="45">
        <f t="shared" si="29"/>
        <v>1242.5</v>
      </c>
      <c r="F112" s="45">
        <v>3500.0</v>
      </c>
      <c r="G112" s="60"/>
      <c r="H112" s="71">
        <f t="shared" si="30"/>
        <v>2800</v>
      </c>
      <c r="I112" s="71">
        <f t="shared" si="31"/>
        <v>1557.5</v>
      </c>
    </row>
    <row r="113" ht="15.75" hidden="1" customHeight="1">
      <c r="B113" s="45"/>
      <c r="C113" s="46">
        <v>6750.0</v>
      </c>
      <c r="D113" s="46">
        <f>D110+D107</f>
        <v>50</v>
      </c>
      <c r="E113" s="45"/>
      <c r="F113" s="45"/>
      <c r="G113" s="60"/>
      <c r="H113" s="60"/>
      <c r="I113" s="74">
        <f>I107+I110</f>
        <v>29000</v>
      </c>
    </row>
    <row r="114" ht="15.75" hidden="1" customHeight="1">
      <c r="B114" s="45"/>
      <c r="C114" s="46"/>
      <c r="D114" s="46"/>
      <c r="E114" s="45"/>
      <c r="F114" s="45"/>
      <c r="G114" s="60"/>
      <c r="H114" s="60"/>
      <c r="I114" s="60"/>
    </row>
    <row r="115" ht="15.75" hidden="1" customHeight="1">
      <c r="A115" s="57" t="s">
        <v>196</v>
      </c>
      <c r="B115" s="49" t="s">
        <v>108</v>
      </c>
      <c r="C115" s="46">
        <v>6750.0</v>
      </c>
      <c r="D115" s="50" t="s">
        <v>109</v>
      </c>
      <c r="E115" s="49" t="s">
        <v>110</v>
      </c>
      <c r="F115" s="49" t="s">
        <v>9</v>
      </c>
      <c r="G115" s="51"/>
      <c r="H115" s="51" t="s">
        <v>10</v>
      </c>
      <c r="I115" s="51" t="s">
        <v>111</v>
      </c>
      <c r="J115" s="53" t="s">
        <v>179</v>
      </c>
    </row>
    <row r="116" ht="15.75" hidden="1" customHeight="1">
      <c r="A116" s="53" t="s">
        <v>162</v>
      </c>
      <c r="B116" s="45">
        <v>13650.0</v>
      </c>
      <c r="D116" s="46">
        <v>47.0</v>
      </c>
      <c r="E116" s="45">
        <f>D116*M116</f>
        <v>30174</v>
      </c>
      <c r="F116" s="45">
        <v>73000.0</v>
      </c>
      <c r="G116" s="71"/>
      <c r="H116" s="71">
        <v>67500.0</v>
      </c>
      <c r="I116" s="74">
        <f>H116-E116</f>
        <v>37326</v>
      </c>
      <c r="J116" s="72">
        <f>H116/B116-1</f>
        <v>3.945054945</v>
      </c>
      <c r="K116" s="72">
        <f>E116/B116-1</f>
        <v>1.210549451</v>
      </c>
      <c r="L116" s="52" t="s">
        <v>112</v>
      </c>
      <c r="M116" s="52">
        <v>642.0</v>
      </c>
    </row>
    <row r="117" ht="15.75" hidden="1" customHeight="1">
      <c r="B117" s="45"/>
      <c r="C117" s="46"/>
      <c r="D117" s="46"/>
      <c r="E117" s="45"/>
      <c r="F117" s="45"/>
      <c r="G117" s="60"/>
      <c r="H117" s="60"/>
      <c r="I117" s="74"/>
      <c r="J117" s="72"/>
      <c r="K117" s="72"/>
      <c r="M117" s="55"/>
    </row>
    <row r="118" ht="15.75" hidden="1" customHeight="1">
      <c r="B118" s="45"/>
      <c r="C118" s="46"/>
      <c r="D118" s="46"/>
      <c r="E118" s="45"/>
      <c r="F118" s="45"/>
      <c r="G118" s="60"/>
      <c r="H118" s="60"/>
      <c r="I118" s="60"/>
    </row>
    <row r="119" ht="15.75" hidden="1" customHeight="1">
      <c r="A119" s="100"/>
      <c r="B119" s="101"/>
      <c r="C119" s="102"/>
      <c r="D119" s="102"/>
      <c r="E119" s="101"/>
      <c r="F119" s="101"/>
      <c r="G119" s="100"/>
      <c r="H119" s="100"/>
      <c r="I119" s="100"/>
      <c r="J119" s="100"/>
      <c r="K119" s="100"/>
      <c r="L119" s="100"/>
      <c r="M119" s="100"/>
    </row>
    <row r="120" ht="15.75" hidden="1" customHeight="1">
      <c r="A120" s="53" t="s">
        <v>197</v>
      </c>
      <c r="B120" s="45"/>
      <c r="C120" s="46"/>
      <c r="D120" s="46"/>
      <c r="E120" s="45"/>
      <c r="F120" s="45"/>
      <c r="G120" s="60"/>
      <c r="H120" s="60"/>
      <c r="I120" s="60"/>
    </row>
    <row r="121" ht="15.75" hidden="1" customHeight="1">
      <c r="B121" s="45"/>
      <c r="C121" s="46"/>
      <c r="D121" s="46"/>
      <c r="E121" s="45"/>
      <c r="F121" s="45"/>
      <c r="G121" s="60"/>
      <c r="H121" s="60"/>
      <c r="I121" s="60"/>
    </row>
    <row r="122" ht="15.75" hidden="1" customHeight="1">
      <c r="A122" s="50" t="s">
        <v>198</v>
      </c>
      <c r="B122" s="49" t="s">
        <v>108</v>
      </c>
      <c r="C122" s="50"/>
      <c r="D122" s="50" t="s">
        <v>109</v>
      </c>
      <c r="E122" s="49" t="s">
        <v>110</v>
      </c>
      <c r="F122" s="49" t="s">
        <v>9</v>
      </c>
      <c r="G122" s="51" t="s">
        <v>199</v>
      </c>
      <c r="H122" s="51" t="s">
        <v>10</v>
      </c>
      <c r="I122" s="51" t="s">
        <v>111</v>
      </c>
      <c r="J122" s="53" t="s">
        <v>200</v>
      </c>
      <c r="L122" s="52" t="s">
        <v>112</v>
      </c>
      <c r="M122" s="52">
        <v>358.0</v>
      </c>
    </row>
    <row r="123" ht="15.75" hidden="1" customHeight="1">
      <c r="A123" s="53" t="s">
        <v>201</v>
      </c>
      <c r="B123" s="45">
        <v>2074.0</v>
      </c>
      <c r="C123" s="46"/>
      <c r="D123" s="46">
        <v>9.0</v>
      </c>
      <c r="E123" s="45">
        <f t="shared" ref="E123:E139" si="32">D123*$M$122</f>
        <v>3222</v>
      </c>
      <c r="F123" s="45">
        <v>9000.0</v>
      </c>
      <c r="G123" s="71">
        <f t="shared" ref="G123:G125" si="33">E123-SUM(B123:C123)</f>
        <v>1148</v>
      </c>
      <c r="H123" s="60"/>
      <c r="I123" s="60"/>
      <c r="M123" s="55"/>
    </row>
    <row r="124" ht="15.75" hidden="1" customHeight="1">
      <c r="A124" s="53" t="s">
        <v>202</v>
      </c>
      <c r="B124" s="45">
        <v>1939.0</v>
      </c>
      <c r="C124" s="46"/>
      <c r="D124" s="46">
        <v>7.0</v>
      </c>
      <c r="E124" s="45">
        <f t="shared" si="32"/>
        <v>2506</v>
      </c>
      <c r="F124" s="45">
        <v>7000.0</v>
      </c>
      <c r="G124" s="71">
        <f t="shared" si="33"/>
        <v>567</v>
      </c>
      <c r="H124" s="60"/>
      <c r="I124" s="60"/>
    </row>
    <row r="125" ht="15.75" hidden="1" customHeight="1">
      <c r="A125" s="53" t="s">
        <v>203</v>
      </c>
      <c r="B125" s="45">
        <v>4464.0</v>
      </c>
      <c r="C125" s="46"/>
      <c r="D125" s="46">
        <v>50.0</v>
      </c>
      <c r="E125" s="45">
        <f t="shared" si="32"/>
        <v>17900</v>
      </c>
      <c r="F125" s="45">
        <v>50000.0</v>
      </c>
      <c r="G125" s="71">
        <f t="shared" si="33"/>
        <v>13436</v>
      </c>
      <c r="H125" s="60"/>
      <c r="I125" s="74"/>
    </row>
    <row r="126" ht="15.75" hidden="1" customHeight="1">
      <c r="A126" s="53" t="s">
        <v>127</v>
      </c>
      <c r="B126" s="45"/>
      <c r="C126" s="46"/>
      <c r="D126" s="46">
        <v>3.0</v>
      </c>
      <c r="E126" s="45">
        <f t="shared" si="32"/>
        <v>1074</v>
      </c>
      <c r="F126" s="45">
        <v>3000.0</v>
      </c>
      <c r="G126" s="60"/>
      <c r="H126" s="60"/>
      <c r="I126" s="60"/>
    </row>
    <row r="127" ht="15.75" hidden="1" customHeight="1">
      <c r="A127" s="53" t="s">
        <v>148</v>
      </c>
      <c r="B127" s="45"/>
      <c r="C127" s="46"/>
      <c r="D127" s="46">
        <v>2.0</v>
      </c>
      <c r="E127" s="45">
        <f t="shared" si="32"/>
        <v>716</v>
      </c>
      <c r="F127" s="45">
        <v>5000.0</v>
      </c>
      <c r="G127" s="60"/>
      <c r="H127" s="60"/>
      <c r="I127" s="60"/>
    </row>
    <row r="128" ht="15.75" hidden="1" customHeight="1">
      <c r="A128" s="53" t="s">
        <v>129</v>
      </c>
      <c r="B128" s="45"/>
      <c r="C128" s="46"/>
      <c r="D128" s="46">
        <v>5.0</v>
      </c>
      <c r="E128" s="45">
        <f t="shared" si="32"/>
        <v>1790</v>
      </c>
      <c r="F128" s="45">
        <v>5000.0</v>
      </c>
      <c r="G128" s="60"/>
      <c r="H128" s="60"/>
      <c r="I128" s="60"/>
    </row>
    <row r="129" ht="15.75" hidden="1" customHeight="1">
      <c r="A129" s="53" t="s">
        <v>137</v>
      </c>
      <c r="B129" s="45"/>
      <c r="C129" s="46"/>
      <c r="D129" s="46">
        <v>1.5</v>
      </c>
      <c r="E129" s="45">
        <f t="shared" si="32"/>
        <v>537</v>
      </c>
      <c r="F129" s="45">
        <v>1500.0</v>
      </c>
      <c r="G129" s="60"/>
      <c r="H129" s="60"/>
      <c r="I129" s="60"/>
    </row>
    <row r="130" ht="15.75" hidden="1" customHeight="1">
      <c r="A130" s="53" t="s">
        <v>138</v>
      </c>
      <c r="B130" s="45"/>
      <c r="C130" s="46"/>
      <c r="D130" s="46">
        <v>1.5</v>
      </c>
      <c r="E130" s="45">
        <f t="shared" si="32"/>
        <v>537</v>
      </c>
      <c r="F130" s="45">
        <v>1500.0</v>
      </c>
      <c r="G130" s="60"/>
      <c r="H130" s="60"/>
      <c r="I130" s="60"/>
    </row>
    <row r="131" ht="15.75" hidden="1" customHeight="1">
      <c r="A131" s="53" t="s">
        <v>139</v>
      </c>
      <c r="B131" s="45"/>
      <c r="C131" s="46"/>
      <c r="D131" s="46">
        <v>1.5</v>
      </c>
      <c r="E131" s="45">
        <f t="shared" si="32"/>
        <v>537</v>
      </c>
      <c r="F131" s="45">
        <v>1500.0</v>
      </c>
      <c r="G131" s="71"/>
      <c r="H131" s="71"/>
      <c r="I131" s="71"/>
    </row>
    <row r="132" ht="15.75" hidden="1" customHeight="1">
      <c r="A132" s="53" t="s">
        <v>149</v>
      </c>
      <c r="B132" s="45"/>
      <c r="C132" s="45"/>
      <c r="D132" s="46">
        <v>2.0</v>
      </c>
      <c r="E132" s="45">
        <f t="shared" si="32"/>
        <v>716</v>
      </c>
      <c r="F132" s="45">
        <v>2000.0</v>
      </c>
      <c r="G132" s="60"/>
      <c r="H132" s="60"/>
      <c r="I132" s="60"/>
    </row>
    <row r="133" ht="15.75" hidden="1" customHeight="1">
      <c r="A133" s="53" t="s">
        <v>204</v>
      </c>
      <c r="B133" s="45"/>
      <c r="C133" s="45"/>
      <c r="D133" s="46">
        <v>5.0</v>
      </c>
      <c r="E133" s="45">
        <f t="shared" si="32"/>
        <v>1790</v>
      </c>
      <c r="F133" s="45">
        <v>5000.0</v>
      </c>
      <c r="G133" s="60"/>
      <c r="H133" s="60"/>
      <c r="I133" s="99"/>
    </row>
    <row r="134" ht="15.75" hidden="1" customHeight="1">
      <c r="A134" s="53" t="s">
        <v>205</v>
      </c>
      <c r="B134" s="45">
        <v>3098.0</v>
      </c>
      <c r="C134" s="46"/>
      <c r="D134" s="46">
        <v>12.0</v>
      </c>
      <c r="E134" s="45">
        <f t="shared" si="32"/>
        <v>4296</v>
      </c>
      <c r="F134" s="45">
        <v>12000.0</v>
      </c>
      <c r="G134" s="71">
        <f t="shared" ref="G134:G139" si="34">E134-SUM(B134:C134)</f>
        <v>1198</v>
      </c>
      <c r="H134" s="71"/>
      <c r="I134" s="71"/>
    </row>
    <row r="135" ht="15.75" hidden="1" customHeight="1">
      <c r="A135" s="53" t="s">
        <v>135</v>
      </c>
      <c r="B135" s="45"/>
      <c r="C135" s="46"/>
      <c r="D135" s="46">
        <v>1.5</v>
      </c>
      <c r="E135" s="45">
        <f t="shared" si="32"/>
        <v>537</v>
      </c>
      <c r="F135" s="45">
        <v>1500.0</v>
      </c>
      <c r="G135" s="71">
        <f t="shared" si="34"/>
        <v>537</v>
      </c>
      <c r="H135" s="71"/>
      <c r="I135" s="71"/>
    </row>
    <row r="136" ht="15.75" hidden="1" customHeight="1">
      <c r="A136" s="53" t="s">
        <v>131</v>
      </c>
      <c r="B136" s="45">
        <v>42000.0</v>
      </c>
      <c r="C136" s="46">
        <v>6500.0</v>
      </c>
      <c r="D136" s="46">
        <v>275.0</v>
      </c>
      <c r="E136" s="45">
        <f t="shared" si="32"/>
        <v>98450</v>
      </c>
      <c r="F136" s="45">
        <v>275000.0</v>
      </c>
      <c r="G136" s="71">
        <f t="shared" si="34"/>
        <v>49950</v>
      </c>
      <c r="H136" s="71">
        <f>F136*0.6</f>
        <v>165000</v>
      </c>
      <c r="I136" s="74">
        <f>H136-E136</f>
        <v>66550</v>
      </c>
    </row>
    <row r="137" ht="15.75" hidden="1" customHeight="1">
      <c r="A137" s="53" t="s">
        <v>206</v>
      </c>
      <c r="B137" s="45">
        <v>3500.0</v>
      </c>
      <c r="C137" s="46"/>
      <c r="D137" s="46">
        <v>15.0</v>
      </c>
      <c r="E137" s="45">
        <f t="shared" si="32"/>
        <v>5370</v>
      </c>
      <c r="F137" s="45">
        <v>15000.0</v>
      </c>
      <c r="G137" s="71">
        <f t="shared" si="34"/>
        <v>1870</v>
      </c>
      <c r="H137" s="71"/>
      <c r="I137" s="71"/>
    </row>
    <row r="138" ht="15.75" hidden="1" customHeight="1">
      <c r="A138" s="53" t="s">
        <v>207</v>
      </c>
      <c r="B138" s="45">
        <v>2000.0</v>
      </c>
      <c r="C138" s="46"/>
      <c r="D138" s="46">
        <v>18.0</v>
      </c>
      <c r="E138" s="45">
        <f t="shared" si="32"/>
        <v>6444</v>
      </c>
      <c r="F138" s="45">
        <v>18000.0</v>
      </c>
      <c r="G138" s="71">
        <f t="shared" si="34"/>
        <v>4444</v>
      </c>
      <c r="H138" s="60"/>
      <c r="I138" s="60"/>
    </row>
    <row r="139" ht="15.75" hidden="1" customHeight="1">
      <c r="A139" s="53" t="s">
        <v>208</v>
      </c>
      <c r="B139" s="45">
        <v>4590.0</v>
      </c>
      <c r="C139" s="46"/>
      <c r="D139" s="46">
        <v>15.0</v>
      </c>
      <c r="E139" s="45">
        <f t="shared" si="32"/>
        <v>5370</v>
      </c>
      <c r="F139" s="45">
        <v>15000.0</v>
      </c>
      <c r="G139" s="71">
        <f t="shared" si="34"/>
        <v>780</v>
      </c>
      <c r="H139" s="60"/>
      <c r="I139" s="60"/>
    </row>
    <row r="140" ht="15.75" hidden="1" customHeight="1">
      <c r="B140" s="45"/>
      <c r="C140" s="46">
        <v>6500.0</v>
      </c>
      <c r="D140" s="46">
        <f>D136+D125</f>
        <v>325</v>
      </c>
      <c r="E140" s="45"/>
      <c r="F140" s="45"/>
      <c r="G140" s="60"/>
      <c r="H140" s="60"/>
      <c r="I140" s="74">
        <f>I136+I125</f>
        <v>66550</v>
      </c>
      <c r="J140" s="53" t="s">
        <v>209</v>
      </c>
    </row>
    <row r="141" ht="15.75" hidden="1" customHeight="1">
      <c r="B141" s="45"/>
      <c r="C141" s="46"/>
      <c r="D141" s="46"/>
      <c r="E141" s="45"/>
      <c r="F141" s="45"/>
      <c r="G141" s="60"/>
      <c r="H141" s="60"/>
      <c r="I141" s="60"/>
    </row>
    <row r="142" ht="15.75" hidden="1" customHeight="1">
      <c r="A142" s="50" t="s">
        <v>210</v>
      </c>
      <c r="B142" s="49" t="s">
        <v>108</v>
      </c>
      <c r="C142" s="50"/>
      <c r="D142" s="50" t="s">
        <v>109</v>
      </c>
      <c r="E142" s="49" t="s">
        <v>110</v>
      </c>
      <c r="F142" s="49" t="s">
        <v>9</v>
      </c>
      <c r="G142" s="51" t="s">
        <v>199</v>
      </c>
      <c r="H142" s="51" t="s">
        <v>10</v>
      </c>
      <c r="I142" s="51" t="s">
        <v>111</v>
      </c>
      <c r="L142" s="52" t="s">
        <v>112</v>
      </c>
      <c r="M142" s="52">
        <v>663.0</v>
      </c>
    </row>
    <row r="143" ht="15.75" hidden="1" customHeight="1">
      <c r="A143" s="53" t="s">
        <v>211</v>
      </c>
      <c r="B143" s="45">
        <v>10500.0</v>
      </c>
      <c r="C143" s="46">
        <f>6750/10</f>
        <v>675</v>
      </c>
      <c r="D143" s="46"/>
      <c r="E143" s="45"/>
      <c r="F143" s="45"/>
      <c r="G143" s="71">
        <f>(B143+C143)*1.75</f>
        <v>19556.25</v>
      </c>
      <c r="H143" s="60"/>
      <c r="I143" s="74">
        <f>G143</f>
        <v>19556.25</v>
      </c>
      <c r="J143" s="53" t="s">
        <v>200</v>
      </c>
    </row>
    <row r="144" ht="15.75" hidden="1" customHeight="1">
      <c r="B144" s="45"/>
      <c r="C144" s="46"/>
      <c r="D144" s="46"/>
      <c r="E144" s="45"/>
      <c r="F144" s="45"/>
      <c r="G144" s="60"/>
      <c r="H144" s="60"/>
      <c r="I144" s="60"/>
    </row>
    <row r="145" ht="15.75" hidden="1" customHeight="1">
      <c r="B145" s="45"/>
      <c r="C145" s="46"/>
      <c r="D145" s="46"/>
      <c r="E145" s="45"/>
      <c r="F145" s="45"/>
      <c r="G145" s="60"/>
      <c r="H145" s="60"/>
      <c r="I145" s="60"/>
    </row>
    <row r="146" ht="15.75" hidden="1" customHeight="1">
      <c r="A146" s="85" t="s">
        <v>212</v>
      </c>
      <c r="B146" s="86" t="s">
        <v>108</v>
      </c>
      <c r="C146" s="87"/>
      <c r="D146" s="87" t="s">
        <v>109</v>
      </c>
      <c r="E146" s="86" t="s">
        <v>110</v>
      </c>
      <c r="F146" s="86" t="s">
        <v>9</v>
      </c>
      <c r="G146" s="87" t="s">
        <v>199</v>
      </c>
      <c r="H146" s="87" t="s">
        <v>10</v>
      </c>
      <c r="I146" s="87" t="s">
        <v>111</v>
      </c>
      <c r="J146" s="89"/>
      <c r="K146" s="89"/>
      <c r="L146" s="89" t="s">
        <v>112</v>
      </c>
      <c r="M146" s="89">
        <v>663.0</v>
      </c>
    </row>
    <row r="147" ht="15.75" hidden="1" customHeight="1">
      <c r="A147" s="89" t="s">
        <v>213</v>
      </c>
      <c r="B147" s="90">
        <v>280000.0</v>
      </c>
      <c r="C147" s="91"/>
      <c r="D147" s="91">
        <v>300.0</v>
      </c>
      <c r="E147" s="90">
        <f>D147*M146</f>
        <v>198900</v>
      </c>
      <c r="F147" s="90" t="s">
        <v>214</v>
      </c>
      <c r="G147" s="89"/>
      <c r="H147" s="89">
        <v>270000.0</v>
      </c>
      <c r="I147" s="92">
        <f>H147-E147</f>
        <v>71100</v>
      </c>
      <c r="J147" s="89"/>
      <c r="K147" s="89"/>
      <c r="L147" s="89"/>
      <c r="M147" s="89"/>
    </row>
    <row r="148" ht="15.75" hidden="1" customHeight="1">
      <c r="A148" s="89" t="s">
        <v>215</v>
      </c>
      <c r="B148" s="90">
        <v>5000.0</v>
      </c>
      <c r="C148" s="91"/>
      <c r="D148" s="91">
        <v>9.0</v>
      </c>
      <c r="E148" s="90">
        <f>D148*M146</f>
        <v>5967</v>
      </c>
      <c r="F148" s="90">
        <v>9000.0</v>
      </c>
      <c r="G148" s="89"/>
      <c r="H148" s="89">
        <v>0.0</v>
      </c>
      <c r="I148" s="89"/>
      <c r="J148" s="89" t="s">
        <v>108</v>
      </c>
      <c r="K148" s="92">
        <f>SUM(B147:B148)</f>
        <v>285000</v>
      </c>
      <c r="L148" s="89"/>
      <c r="M148" s="89"/>
    </row>
    <row r="149" ht="15.75" hidden="1" customHeight="1">
      <c r="A149" s="89"/>
      <c r="B149" s="90"/>
      <c r="C149" s="91"/>
      <c r="D149" s="91"/>
      <c r="E149" s="90"/>
      <c r="F149" s="90"/>
      <c r="G149" s="89"/>
      <c r="H149" s="89"/>
      <c r="I149" s="89"/>
      <c r="J149" s="89" t="s">
        <v>216</v>
      </c>
      <c r="K149" s="92"/>
      <c r="L149" s="89"/>
      <c r="M149" s="89"/>
    </row>
    <row r="150" ht="15.75" hidden="1" customHeight="1">
      <c r="A150" s="89"/>
      <c r="B150" s="90"/>
      <c r="C150" s="91"/>
      <c r="D150" s="91"/>
      <c r="E150" s="90"/>
      <c r="F150" s="90"/>
      <c r="G150" s="89"/>
      <c r="H150" s="89"/>
      <c r="I150" s="89"/>
      <c r="J150" s="89" t="s">
        <v>217</v>
      </c>
      <c r="K150" s="92">
        <f>I147</f>
        <v>71100</v>
      </c>
      <c r="L150" s="89"/>
      <c r="M150" s="89"/>
    </row>
    <row r="151" ht="15.75" hidden="1" customHeight="1">
      <c r="A151" s="89"/>
      <c r="B151" s="90"/>
      <c r="C151" s="91"/>
      <c r="D151" s="91"/>
      <c r="E151" s="90"/>
      <c r="F151" s="90"/>
      <c r="G151" s="89"/>
      <c r="H151" s="89"/>
      <c r="I151" s="89"/>
      <c r="J151" s="89" t="s">
        <v>110</v>
      </c>
      <c r="K151" s="92">
        <f>SUM(E147:E148)</f>
        <v>204867</v>
      </c>
      <c r="L151" s="89"/>
      <c r="M151" s="89"/>
    </row>
    <row r="152" ht="15.75" hidden="1" customHeight="1">
      <c r="A152" s="89"/>
      <c r="B152" s="90"/>
      <c r="C152" s="91"/>
      <c r="D152" s="91"/>
      <c r="E152" s="90"/>
      <c r="F152" s="90"/>
      <c r="G152" s="89"/>
      <c r="H152" s="89"/>
      <c r="I152" s="89"/>
      <c r="J152" s="89"/>
      <c r="K152" s="89"/>
      <c r="L152" s="89"/>
      <c r="M152" s="89"/>
    </row>
    <row r="153" ht="15.75" hidden="1" customHeight="1">
      <c r="A153" s="89"/>
      <c r="B153" s="90"/>
      <c r="C153" s="91"/>
      <c r="D153" s="91"/>
      <c r="E153" s="90"/>
      <c r="F153" s="90"/>
      <c r="G153" s="89"/>
      <c r="H153" s="89"/>
      <c r="I153" s="89"/>
      <c r="J153" s="89" t="s">
        <v>218</v>
      </c>
      <c r="K153" s="92">
        <f>SUM(K149:K151)</f>
        <v>275967</v>
      </c>
      <c r="L153" s="89"/>
      <c r="M153" s="89"/>
    </row>
    <row r="154" ht="15.75" hidden="1" customHeight="1">
      <c r="A154" s="89"/>
      <c r="B154" s="90"/>
      <c r="C154" s="91"/>
      <c r="D154" s="91"/>
      <c r="E154" s="90"/>
      <c r="F154" s="90"/>
      <c r="G154" s="89"/>
      <c r="H154" s="89"/>
      <c r="I154" s="89"/>
      <c r="J154" s="89"/>
      <c r="K154" s="89"/>
      <c r="L154" s="89"/>
      <c r="M154" s="89"/>
    </row>
    <row r="155" ht="15.75" hidden="1" customHeight="1">
      <c r="A155" s="89"/>
      <c r="B155" s="90"/>
      <c r="C155" s="91"/>
      <c r="D155" s="91"/>
      <c r="E155" s="90"/>
      <c r="F155" s="90"/>
      <c r="G155" s="89"/>
      <c r="H155" s="89"/>
      <c r="I155" s="89"/>
      <c r="J155" s="89" t="s">
        <v>219</v>
      </c>
      <c r="K155" s="92">
        <f>K153-K148</f>
        <v>-9033</v>
      </c>
      <c r="L155" s="89"/>
      <c r="M155" s="89"/>
    </row>
    <row r="156" ht="15.75" hidden="1" customHeight="1">
      <c r="A156" s="89"/>
      <c r="B156" s="90"/>
      <c r="C156" s="91"/>
      <c r="D156" s="91"/>
      <c r="E156" s="90"/>
      <c r="F156" s="90"/>
      <c r="G156" s="89"/>
      <c r="H156" s="89"/>
      <c r="I156" s="89"/>
      <c r="J156" s="89"/>
      <c r="K156" s="89"/>
      <c r="L156" s="89"/>
      <c r="M156" s="89"/>
    </row>
    <row r="157" ht="15.75" hidden="1" customHeight="1">
      <c r="A157" s="85" t="s">
        <v>212</v>
      </c>
      <c r="B157" s="86" t="s">
        <v>108</v>
      </c>
      <c r="C157" s="87"/>
      <c r="D157" s="87" t="s">
        <v>109</v>
      </c>
      <c r="E157" s="86" t="s">
        <v>110</v>
      </c>
      <c r="F157" s="86" t="s">
        <v>9</v>
      </c>
      <c r="G157" s="87" t="s">
        <v>199</v>
      </c>
      <c r="H157" s="87" t="s">
        <v>10</v>
      </c>
      <c r="I157" s="87" t="s">
        <v>111</v>
      </c>
      <c r="J157" s="89"/>
      <c r="K157" s="89"/>
      <c r="L157" s="89" t="s">
        <v>112</v>
      </c>
      <c r="M157" s="89">
        <v>358.0</v>
      </c>
    </row>
    <row r="158" ht="15.75" hidden="1" customHeight="1">
      <c r="A158" s="89" t="s">
        <v>213</v>
      </c>
      <c r="B158" s="90">
        <v>280000.0</v>
      </c>
      <c r="C158" s="91"/>
      <c r="D158" s="91">
        <v>300.0</v>
      </c>
      <c r="E158" s="90">
        <f>D158*M157</f>
        <v>107400</v>
      </c>
      <c r="F158" s="90" t="s">
        <v>214</v>
      </c>
      <c r="G158" s="89"/>
      <c r="H158" s="103">
        <v>270000.0</v>
      </c>
      <c r="I158" s="104">
        <f>H158-E158</f>
        <v>162600</v>
      </c>
      <c r="J158" s="89"/>
      <c r="K158" s="89"/>
      <c r="L158" s="89"/>
      <c r="M158" s="89"/>
    </row>
    <row r="159" ht="15.75" hidden="1" customHeight="1">
      <c r="A159" s="89" t="s">
        <v>215</v>
      </c>
      <c r="B159" s="90">
        <v>5000.0</v>
      </c>
      <c r="C159" s="91"/>
      <c r="D159" s="91">
        <v>9.0</v>
      </c>
      <c r="E159" s="90">
        <f>D159*M157</f>
        <v>3222</v>
      </c>
      <c r="F159" s="90">
        <v>9000.0</v>
      </c>
      <c r="G159" s="89"/>
      <c r="H159" s="105"/>
      <c r="I159" s="105"/>
      <c r="J159" s="89" t="s">
        <v>108</v>
      </c>
      <c r="K159" s="92">
        <f>SUM(B158:B159)</f>
        <v>285000</v>
      </c>
      <c r="L159" s="89"/>
      <c r="M159" s="89"/>
    </row>
    <row r="160" ht="15.75" hidden="1" customHeight="1">
      <c r="A160" s="89"/>
      <c r="B160" s="90"/>
      <c r="C160" s="91"/>
      <c r="D160" s="91"/>
      <c r="E160" s="90"/>
      <c r="F160" s="90"/>
      <c r="G160" s="89"/>
      <c r="H160" s="89"/>
      <c r="I160" s="89"/>
      <c r="J160" s="89" t="s">
        <v>216</v>
      </c>
      <c r="K160" s="92">
        <v>100000.0</v>
      </c>
      <c r="L160" s="89"/>
      <c r="M160" s="89"/>
    </row>
    <row r="161" ht="15.75" hidden="1" customHeight="1">
      <c r="A161" s="89"/>
      <c r="B161" s="90"/>
      <c r="C161" s="91"/>
      <c r="D161" s="91"/>
      <c r="E161" s="90"/>
      <c r="F161" s="90"/>
      <c r="G161" s="89"/>
      <c r="H161" s="89"/>
      <c r="I161" s="89"/>
      <c r="J161" s="89" t="s">
        <v>217</v>
      </c>
      <c r="K161" s="92">
        <f>I158</f>
        <v>162600</v>
      </c>
      <c r="L161" s="89"/>
      <c r="M161" s="89"/>
    </row>
    <row r="162" ht="15.75" hidden="1" customHeight="1">
      <c r="A162" s="89"/>
      <c r="B162" s="90"/>
      <c r="C162" s="91"/>
      <c r="D162" s="91"/>
      <c r="E162" s="90"/>
      <c r="F162" s="90"/>
      <c r="G162" s="89"/>
      <c r="H162" s="89"/>
      <c r="I162" s="89"/>
      <c r="J162" s="89" t="s">
        <v>110</v>
      </c>
      <c r="K162" s="92">
        <f>SUM(E158:E159)</f>
        <v>110622</v>
      </c>
      <c r="L162" s="89"/>
      <c r="M162" s="89"/>
    </row>
    <row r="163" ht="15.75" hidden="1" customHeight="1">
      <c r="A163" s="89"/>
      <c r="B163" s="90"/>
      <c r="C163" s="91"/>
      <c r="D163" s="91"/>
      <c r="E163" s="90"/>
      <c r="F163" s="90"/>
      <c r="G163" s="89"/>
      <c r="H163" s="89"/>
      <c r="I163" s="89"/>
      <c r="J163" s="89"/>
      <c r="K163" s="89"/>
      <c r="L163" s="89"/>
      <c r="M163" s="89"/>
    </row>
    <row r="164" ht="15.75" hidden="1" customHeight="1">
      <c r="A164" s="89"/>
      <c r="B164" s="90"/>
      <c r="C164" s="91"/>
      <c r="D164" s="91"/>
      <c r="E164" s="90"/>
      <c r="F164" s="90"/>
      <c r="G164" s="89"/>
      <c r="H164" s="89"/>
      <c r="I164" s="89"/>
      <c r="J164" s="89" t="s">
        <v>218</v>
      </c>
      <c r="K164" s="92">
        <f>SUM(K160:K162)</f>
        <v>373222</v>
      </c>
      <c r="L164" s="89"/>
      <c r="M164" s="89"/>
    </row>
    <row r="165" ht="15.75" hidden="1" customHeight="1">
      <c r="A165" s="89"/>
      <c r="B165" s="90"/>
      <c r="C165" s="91"/>
      <c r="D165" s="91"/>
      <c r="E165" s="90"/>
      <c r="F165" s="90"/>
      <c r="G165" s="89"/>
      <c r="H165" s="89"/>
      <c r="I165" s="89"/>
      <c r="J165" s="89"/>
      <c r="K165" s="89"/>
      <c r="L165" s="89"/>
      <c r="M165" s="89"/>
    </row>
    <row r="166" ht="15.75" hidden="1" customHeight="1">
      <c r="A166" s="89"/>
      <c r="B166" s="90"/>
      <c r="C166" s="91"/>
      <c r="D166" s="91"/>
      <c r="E166" s="90"/>
      <c r="F166" s="90"/>
      <c r="G166" s="89"/>
      <c r="H166" s="89"/>
      <c r="I166" s="89"/>
      <c r="J166" s="89" t="s">
        <v>219</v>
      </c>
      <c r="K166" s="92">
        <f>K164-K159</f>
        <v>88222</v>
      </c>
      <c r="L166" s="89"/>
      <c r="M166" s="89"/>
    </row>
    <row r="167" ht="15.75" hidden="1" customHeight="1">
      <c r="A167" s="89"/>
      <c r="B167" s="90"/>
      <c r="C167" s="91"/>
      <c r="D167" s="91"/>
      <c r="E167" s="90"/>
      <c r="F167" s="90"/>
      <c r="G167" s="89"/>
      <c r="H167" s="89"/>
      <c r="I167" s="89"/>
      <c r="J167" s="89"/>
      <c r="K167" s="89"/>
      <c r="L167" s="89"/>
      <c r="M167" s="89"/>
    </row>
    <row r="168" ht="15.75" hidden="1" customHeight="1">
      <c r="B168" s="45"/>
      <c r="C168" s="46"/>
      <c r="D168" s="46"/>
      <c r="E168" s="45"/>
      <c r="F168" s="45"/>
      <c r="G168" s="60"/>
      <c r="H168" s="60"/>
      <c r="I168" s="60"/>
    </row>
    <row r="169" ht="15.75" hidden="1" customHeight="1">
      <c r="A169" s="106" t="s">
        <v>220</v>
      </c>
      <c r="B169" s="49" t="s">
        <v>108</v>
      </c>
      <c r="C169" s="50"/>
      <c r="D169" s="50" t="s">
        <v>109</v>
      </c>
      <c r="E169" s="49" t="s">
        <v>110</v>
      </c>
      <c r="F169" s="49" t="s">
        <v>9</v>
      </c>
      <c r="G169" s="51" t="s">
        <v>108</v>
      </c>
      <c r="H169" s="51" t="s">
        <v>10</v>
      </c>
      <c r="I169" s="51" t="s">
        <v>111</v>
      </c>
      <c r="L169" s="107" t="s">
        <v>112</v>
      </c>
      <c r="M169" s="107">
        <v>641.0</v>
      </c>
    </row>
    <row r="170" ht="15.75" hidden="1" customHeight="1">
      <c r="A170" s="53" t="s">
        <v>221</v>
      </c>
      <c r="B170" s="45">
        <v>75000.0</v>
      </c>
      <c r="C170" s="46">
        <v>1000.0</v>
      </c>
      <c r="D170" s="46">
        <v>140.0</v>
      </c>
      <c r="E170" s="45">
        <f>D170*M169</f>
        <v>89740</v>
      </c>
      <c r="F170" s="45">
        <v>140000.0</v>
      </c>
      <c r="G170" s="71">
        <f>B170+C170</f>
        <v>76000</v>
      </c>
      <c r="H170" s="71">
        <f>F170*0.9</f>
        <v>126000</v>
      </c>
      <c r="I170" s="71">
        <f t="shared" ref="I170:I171" si="35">H170-E170</f>
        <v>36260</v>
      </c>
    </row>
    <row r="171" ht="15.75" hidden="1" customHeight="1">
      <c r="A171" s="53" t="s">
        <v>222</v>
      </c>
      <c r="B171" s="45">
        <v>275000.0</v>
      </c>
      <c r="C171" s="46">
        <v>4000.0</v>
      </c>
      <c r="D171" s="46">
        <v>300.0</v>
      </c>
      <c r="E171" s="45">
        <f>D171*M169</f>
        <v>192300</v>
      </c>
      <c r="F171" s="45">
        <v>300000.0</v>
      </c>
      <c r="G171" s="71">
        <f>C171+B171</f>
        <v>279000</v>
      </c>
      <c r="H171" s="60">
        <v>350000.0</v>
      </c>
      <c r="I171" s="71">
        <f t="shared" si="35"/>
        <v>157700</v>
      </c>
    </row>
    <row r="172" ht="15.75" hidden="1" customHeight="1">
      <c r="B172" s="45"/>
      <c r="C172" s="46"/>
      <c r="D172" s="46"/>
      <c r="E172" s="45"/>
      <c r="F172" s="45"/>
      <c r="G172" s="60"/>
      <c r="H172" s="60"/>
      <c r="I172" s="74">
        <f>SUM(I170:I171)</f>
        <v>193960</v>
      </c>
      <c r="J172" s="53" t="s">
        <v>223</v>
      </c>
      <c r="K172" s="108"/>
    </row>
    <row r="173" ht="15.75" hidden="1" customHeight="1">
      <c r="B173" s="45"/>
      <c r="C173" s="46"/>
      <c r="D173" s="46"/>
      <c r="E173" s="45"/>
      <c r="F173" s="45"/>
      <c r="G173" s="60"/>
      <c r="H173" s="60"/>
      <c r="I173" s="60"/>
    </row>
    <row r="174" ht="15.75" hidden="1" customHeight="1">
      <c r="A174" s="106" t="s">
        <v>224</v>
      </c>
      <c r="B174" s="45"/>
      <c r="C174" s="46"/>
      <c r="D174" s="46"/>
      <c r="E174" s="45"/>
      <c r="F174" s="45"/>
      <c r="G174" s="60"/>
      <c r="H174" s="60"/>
      <c r="I174" s="60"/>
    </row>
    <row r="175" ht="15.75" hidden="1" customHeight="1">
      <c r="A175" s="53" t="s">
        <v>162</v>
      </c>
      <c r="B175" s="45">
        <v>13650.0</v>
      </c>
      <c r="D175" s="46">
        <v>47.0</v>
      </c>
      <c r="E175" s="45">
        <f>D175*M175</f>
        <v>30127</v>
      </c>
      <c r="F175" s="45">
        <v>73000.0</v>
      </c>
      <c r="G175" s="60"/>
      <c r="H175" s="71">
        <v>70000.0</v>
      </c>
      <c r="I175" s="74">
        <f>H175-E175</f>
        <v>39873</v>
      </c>
      <c r="J175" s="53" t="s">
        <v>223</v>
      </c>
      <c r="L175" s="107" t="s">
        <v>112</v>
      </c>
      <c r="M175" s="107">
        <v>641.0</v>
      </c>
    </row>
    <row r="176" ht="15.75" hidden="1" customHeight="1">
      <c r="B176" s="45"/>
      <c r="C176" s="46"/>
      <c r="D176" s="46"/>
      <c r="E176" s="45"/>
      <c r="F176" s="45"/>
      <c r="G176" s="60"/>
      <c r="H176" s="60"/>
      <c r="I176" s="60"/>
    </row>
    <row r="177" ht="15.75" hidden="1" customHeight="1">
      <c r="B177" s="45"/>
      <c r="C177" s="46"/>
      <c r="D177" s="46"/>
      <c r="E177" s="45"/>
      <c r="F177" s="45"/>
      <c r="G177" s="60"/>
      <c r="H177" s="60"/>
      <c r="I177" s="60"/>
    </row>
    <row r="178" ht="15.75" hidden="1" customHeight="1">
      <c r="A178" s="53" t="s">
        <v>225</v>
      </c>
      <c r="B178" s="45"/>
      <c r="C178" s="46"/>
      <c r="D178" s="46"/>
      <c r="E178" s="45"/>
      <c r="F178" s="45"/>
      <c r="G178" s="60"/>
      <c r="H178" s="60"/>
      <c r="I178" s="60"/>
    </row>
    <row r="179" ht="15.75" hidden="1" customHeight="1">
      <c r="A179" s="53" t="s">
        <v>162</v>
      </c>
      <c r="B179" s="45">
        <v>13650.0</v>
      </c>
      <c r="C179" s="46"/>
      <c r="D179" s="46">
        <v>47.0</v>
      </c>
      <c r="E179" s="45">
        <f>D179*$M$180</f>
        <v>30127</v>
      </c>
      <c r="F179" s="45">
        <v>78000.0</v>
      </c>
      <c r="G179" s="60"/>
      <c r="H179" s="71">
        <f>F179*0.9</f>
        <v>70200</v>
      </c>
      <c r="I179" s="109">
        <f>H179-E179</f>
        <v>40073</v>
      </c>
    </row>
    <row r="180" ht="15.75" hidden="1" customHeight="1">
      <c r="B180" s="45"/>
      <c r="C180" s="46"/>
      <c r="D180" s="46"/>
      <c r="E180" s="45"/>
      <c r="F180" s="45"/>
      <c r="G180" s="60"/>
      <c r="H180" s="60"/>
      <c r="I180" s="60"/>
      <c r="L180" s="110" t="s">
        <v>226</v>
      </c>
      <c r="M180" s="110">
        <v>641.0</v>
      </c>
    </row>
    <row r="181" ht="15.75" hidden="1" customHeight="1">
      <c r="A181" s="53" t="s">
        <v>227</v>
      </c>
      <c r="B181" s="45"/>
      <c r="C181" s="46"/>
      <c r="D181" s="46"/>
      <c r="E181" s="45"/>
      <c r="F181" s="45"/>
      <c r="G181" s="60"/>
      <c r="H181" s="60"/>
      <c r="I181" s="60"/>
      <c r="J181" s="57" t="s">
        <v>228</v>
      </c>
    </row>
    <row r="182" ht="15.75" hidden="1" customHeight="1">
      <c r="A182" s="53" t="s">
        <v>162</v>
      </c>
      <c r="B182" s="45">
        <v>13650.0</v>
      </c>
      <c r="C182" s="46"/>
      <c r="D182" s="46">
        <v>47.0</v>
      </c>
      <c r="E182" s="45">
        <f>D182*$M$180</f>
        <v>30127</v>
      </c>
      <c r="F182" s="45">
        <v>78000.0</v>
      </c>
      <c r="G182" s="60"/>
      <c r="H182" s="71">
        <f>F182*0.9</f>
        <v>70200</v>
      </c>
      <c r="I182" s="109">
        <f>H182-E182</f>
        <v>40073</v>
      </c>
      <c r="J182" s="111">
        <f>I182+I179</f>
        <v>80146</v>
      </c>
    </row>
    <row r="183" ht="15.75" hidden="1" customHeight="1">
      <c r="B183" s="45"/>
      <c r="C183" s="46"/>
      <c r="D183" s="46"/>
      <c r="E183" s="45"/>
      <c r="F183" s="45"/>
      <c r="G183" s="60"/>
      <c r="H183" s="60"/>
      <c r="I183" s="60"/>
    </row>
    <row r="184" ht="15.75" hidden="1" customHeight="1">
      <c r="B184" s="45"/>
      <c r="C184" s="46"/>
      <c r="D184" s="46"/>
      <c r="E184" s="45"/>
      <c r="F184" s="45"/>
      <c r="G184" s="60"/>
      <c r="H184" s="60"/>
      <c r="I184" s="60"/>
    </row>
    <row r="185" ht="15.75" hidden="1" customHeight="1">
      <c r="A185" s="112"/>
      <c r="B185" s="113"/>
      <c r="C185" s="114"/>
      <c r="D185" s="114"/>
      <c r="E185" s="113"/>
      <c r="F185" s="113"/>
      <c r="G185" s="112"/>
      <c r="H185" s="112"/>
      <c r="I185" s="112"/>
      <c r="J185" s="112"/>
    </row>
    <row r="186" ht="15.75" hidden="1" customHeight="1">
      <c r="A186" s="53" t="s">
        <v>229</v>
      </c>
      <c r="B186" s="76" t="s">
        <v>230</v>
      </c>
      <c r="C186" s="46" t="s">
        <v>231</v>
      </c>
      <c r="D186" s="46"/>
      <c r="E186" s="76" t="s">
        <v>232</v>
      </c>
      <c r="F186" s="76" t="s">
        <v>9</v>
      </c>
      <c r="G186" s="47" t="s">
        <v>233</v>
      </c>
      <c r="H186" s="60"/>
      <c r="I186" s="60"/>
    </row>
    <row r="187" ht="15.75" hidden="1" customHeight="1">
      <c r="A187" s="53" t="s">
        <v>234</v>
      </c>
      <c r="B187" s="45">
        <v>283605.89</v>
      </c>
      <c r="C187" s="45">
        <v>5000.0</v>
      </c>
      <c r="D187" s="46">
        <v>270.0</v>
      </c>
      <c r="E187" s="45">
        <f>D187*M187</f>
        <v>178740</v>
      </c>
      <c r="F187" s="45">
        <v>0.0</v>
      </c>
      <c r="G187" s="71">
        <f>SUM(B187:C187)*1.15</f>
        <v>331896.7735</v>
      </c>
      <c r="H187" s="71">
        <f>G187-E187</f>
        <v>153156.7735</v>
      </c>
      <c r="I187" s="109">
        <f>H187</f>
        <v>153156.7735</v>
      </c>
      <c r="L187" s="110" t="s">
        <v>226</v>
      </c>
      <c r="M187" s="110">
        <v>662.0</v>
      </c>
    </row>
    <row r="188" ht="15.75" hidden="1" customHeight="1">
      <c r="B188" s="45"/>
      <c r="C188" s="46"/>
      <c r="D188" s="46"/>
      <c r="E188" s="45"/>
      <c r="F188" s="45"/>
      <c r="G188" s="60"/>
      <c r="H188" s="60"/>
      <c r="I188" s="60"/>
    </row>
    <row r="189" ht="15.75" hidden="1" customHeight="1">
      <c r="B189" s="45"/>
      <c r="C189" s="46"/>
      <c r="D189" s="46"/>
      <c r="E189" s="45"/>
      <c r="F189" s="45"/>
      <c r="G189" s="60"/>
      <c r="H189" s="60"/>
      <c r="I189" s="60"/>
    </row>
    <row r="190" ht="15.75" hidden="1" customHeight="1">
      <c r="A190" s="53" t="s">
        <v>235</v>
      </c>
      <c r="B190" s="76" t="s">
        <v>230</v>
      </c>
      <c r="C190" s="46" t="s">
        <v>231</v>
      </c>
      <c r="D190" s="46"/>
      <c r="E190" s="76" t="s">
        <v>232</v>
      </c>
      <c r="F190" s="76" t="s">
        <v>9</v>
      </c>
      <c r="G190" s="47" t="s">
        <v>233</v>
      </c>
      <c r="H190" s="60"/>
      <c r="I190" s="60"/>
    </row>
    <row r="191" ht="15.75" hidden="1" customHeight="1">
      <c r="A191" s="53" t="s">
        <v>162</v>
      </c>
      <c r="B191" s="45">
        <v>13650.0</v>
      </c>
      <c r="C191" s="45">
        <f>14700/2</f>
        <v>7350</v>
      </c>
      <c r="D191" s="46">
        <v>47.0</v>
      </c>
      <c r="E191" s="45">
        <f>D191*M191</f>
        <v>31114</v>
      </c>
      <c r="F191" s="45">
        <v>80000.0</v>
      </c>
      <c r="G191" s="71">
        <f>F191*0.9</f>
        <v>72000</v>
      </c>
      <c r="H191" s="71">
        <f>G191-E191</f>
        <v>40886</v>
      </c>
      <c r="I191" s="109">
        <f>H191</f>
        <v>40886</v>
      </c>
      <c r="L191" s="110" t="s">
        <v>226</v>
      </c>
      <c r="M191" s="110">
        <v>662.0</v>
      </c>
    </row>
    <row r="192" ht="15.75" hidden="1" customHeight="1">
      <c r="B192" s="45"/>
      <c r="C192" s="46"/>
      <c r="D192" s="46"/>
      <c r="E192" s="45"/>
      <c r="F192" s="45"/>
      <c r="G192" s="60"/>
      <c r="H192" s="60"/>
      <c r="I192" s="60"/>
    </row>
    <row r="193" ht="15.75" hidden="1" customHeight="1">
      <c r="B193" s="45"/>
      <c r="C193" s="46"/>
      <c r="D193" s="46"/>
      <c r="E193" s="45"/>
      <c r="F193" s="45"/>
      <c r="G193" s="60"/>
      <c r="H193" s="60"/>
      <c r="I193" s="60"/>
    </row>
    <row r="194" ht="15.75" hidden="1" customHeight="1">
      <c r="A194" s="115" t="s">
        <v>236</v>
      </c>
      <c r="B194" s="76" t="s">
        <v>230</v>
      </c>
      <c r="C194" s="46" t="s">
        <v>231</v>
      </c>
      <c r="D194" s="46"/>
      <c r="E194" s="76" t="s">
        <v>232</v>
      </c>
      <c r="F194" s="76" t="s">
        <v>9</v>
      </c>
      <c r="G194" s="47" t="s">
        <v>233</v>
      </c>
      <c r="H194" s="60"/>
      <c r="I194" s="60"/>
    </row>
    <row r="195" ht="15.75" hidden="1" customHeight="1">
      <c r="A195" s="53" t="s">
        <v>237</v>
      </c>
      <c r="B195" s="45">
        <v>5059.0</v>
      </c>
      <c r="C195" s="45">
        <v>5000.0</v>
      </c>
      <c r="D195" s="46">
        <v>10.0</v>
      </c>
      <c r="E195" s="45">
        <f>D195*M195</f>
        <v>6620</v>
      </c>
      <c r="F195" s="45">
        <v>11000.0</v>
      </c>
      <c r="G195" s="71">
        <f>F195</f>
        <v>11000</v>
      </c>
      <c r="H195" s="71">
        <f t="shared" ref="H195:H196" si="36">G195-E195</f>
        <v>4380</v>
      </c>
      <c r="I195" s="109">
        <f t="shared" ref="I195:I196" si="37">H195</f>
        <v>4380</v>
      </c>
      <c r="J195" s="53" t="s">
        <v>238</v>
      </c>
      <c r="L195" s="110" t="s">
        <v>226</v>
      </c>
      <c r="M195" s="110">
        <v>662.0</v>
      </c>
    </row>
    <row r="196" ht="15.75" hidden="1" customHeight="1">
      <c r="A196" s="53" t="s">
        <v>239</v>
      </c>
      <c r="B196" s="45">
        <v>4690.0</v>
      </c>
      <c r="C196" s="45">
        <v>5000.0</v>
      </c>
      <c r="D196" s="46">
        <v>12.0</v>
      </c>
      <c r="E196" s="45">
        <f>D196*M195</f>
        <v>7944</v>
      </c>
      <c r="F196" s="45">
        <v>13200.0</v>
      </c>
      <c r="G196" s="71">
        <f>F196*0.9</f>
        <v>11880</v>
      </c>
      <c r="H196" s="71">
        <f t="shared" si="36"/>
        <v>3936</v>
      </c>
      <c r="I196" s="109">
        <f t="shared" si="37"/>
        <v>3936</v>
      </c>
      <c r="J196" s="53" t="s">
        <v>240</v>
      </c>
    </row>
    <row r="197" ht="15.75" hidden="1" customHeight="1">
      <c r="B197" s="45"/>
      <c r="C197" s="46"/>
      <c r="D197" s="46"/>
      <c r="E197" s="45"/>
      <c r="F197" s="45"/>
      <c r="G197" s="60"/>
      <c r="H197" s="60"/>
      <c r="I197" s="60"/>
    </row>
    <row r="198" ht="15.75" hidden="1" customHeight="1">
      <c r="B198" s="45"/>
      <c r="C198" s="46"/>
      <c r="D198" s="46"/>
      <c r="E198" s="45"/>
      <c r="F198" s="45"/>
      <c r="G198" s="60"/>
      <c r="H198" s="60"/>
      <c r="I198" s="60"/>
    </row>
    <row r="199" ht="15.75" hidden="1" customHeight="1">
      <c r="A199" s="53" t="s">
        <v>241</v>
      </c>
      <c r="B199" s="45"/>
      <c r="C199" s="46"/>
      <c r="D199" s="46"/>
      <c r="E199" s="45"/>
      <c r="F199" s="45"/>
      <c r="G199" s="60"/>
      <c r="H199" s="60"/>
      <c r="I199" s="60"/>
    </row>
    <row r="200" ht="15.75" hidden="1" customHeight="1">
      <c r="A200" s="116" t="s">
        <v>242</v>
      </c>
      <c r="B200" s="76" t="s">
        <v>230</v>
      </c>
      <c r="C200" s="46" t="s">
        <v>231</v>
      </c>
      <c r="D200" s="46" t="s">
        <v>109</v>
      </c>
      <c r="E200" s="76" t="s">
        <v>232</v>
      </c>
      <c r="F200" s="76" t="s">
        <v>9</v>
      </c>
      <c r="G200" s="60" t="s">
        <v>233</v>
      </c>
      <c r="H200" s="60"/>
      <c r="I200" s="60"/>
    </row>
    <row r="201" ht="15.75" hidden="1" customHeight="1">
      <c r="A201" s="117" t="s">
        <v>243</v>
      </c>
      <c r="B201" s="45">
        <v>15000.0</v>
      </c>
      <c r="C201" s="45">
        <v>14700.0</v>
      </c>
      <c r="D201" s="46">
        <v>47.0</v>
      </c>
      <c r="E201" s="45">
        <f>D201*M201</f>
        <v>31114</v>
      </c>
      <c r="F201" s="76">
        <v>94000.0</v>
      </c>
      <c r="G201" s="71">
        <f>F201*0.9</f>
        <v>84600</v>
      </c>
      <c r="H201" s="71">
        <f>G201-E201</f>
        <v>53486</v>
      </c>
      <c r="I201" s="109">
        <f>H201</f>
        <v>53486</v>
      </c>
      <c r="J201" s="53" t="s">
        <v>244</v>
      </c>
      <c r="L201" s="110" t="s">
        <v>226</v>
      </c>
      <c r="M201" s="110">
        <v>662.0</v>
      </c>
    </row>
    <row r="202" ht="15.75" hidden="1" customHeight="1">
      <c r="B202" s="45"/>
      <c r="C202" s="46"/>
      <c r="D202" s="46"/>
      <c r="E202" s="45"/>
      <c r="F202" s="45"/>
      <c r="G202" s="60"/>
      <c r="H202" s="60"/>
      <c r="I202" s="60"/>
    </row>
    <row r="203" ht="15.75" hidden="1" customHeight="1">
      <c r="B203" s="45"/>
      <c r="C203" s="46"/>
      <c r="D203" s="46"/>
      <c r="E203" s="45"/>
      <c r="F203" s="45"/>
      <c r="G203" s="60"/>
      <c r="H203" s="60"/>
      <c r="I203" s="60"/>
    </row>
    <row r="204" ht="15.75" hidden="1" customHeight="1">
      <c r="B204" s="45"/>
      <c r="C204" s="46"/>
      <c r="D204" s="46"/>
      <c r="E204" s="45"/>
      <c r="F204" s="45"/>
      <c r="G204" s="60"/>
      <c r="H204" s="60"/>
      <c r="I204" s="60"/>
    </row>
    <row r="205" ht="15.75" hidden="1" customHeight="1">
      <c r="A205" s="118" t="s">
        <v>241</v>
      </c>
      <c r="B205" s="45"/>
      <c r="C205" s="46"/>
      <c r="D205" s="46"/>
      <c r="E205" s="45"/>
      <c r="F205" s="45"/>
      <c r="G205" s="60"/>
      <c r="H205" s="60"/>
      <c r="I205" s="60"/>
    </row>
    <row r="206" ht="15.75" hidden="1" customHeight="1">
      <c r="A206" s="116" t="s">
        <v>242</v>
      </c>
      <c r="B206" s="76" t="s">
        <v>230</v>
      </c>
      <c r="C206" s="46" t="s">
        <v>231</v>
      </c>
      <c r="D206" s="46" t="s">
        <v>109</v>
      </c>
      <c r="E206" s="76" t="s">
        <v>232</v>
      </c>
      <c r="F206" s="76" t="s">
        <v>9</v>
      </c>
      <c r="G206" s="60" t="s">
        <v>233</v>
      </c>
      <c r="H206" s="60"/>
      <c r="I206" s="60"/>
    </row>
    <row r="207" ht="15.75" hidden="1" customHeight="1">
      <c r="A207" s="28" t="s">
        <v>28</v>
      </c>
      <c r="B207" s="45">
        <v>610000.0</v>
      </c>
      <c r="C207" s="45">
        <v>0.0</v>
      </c>
      <c r="D207" s="46">
        <v>150.0</v>
      </c>
      <c r="E207" s="45">
        <f>D207*M207</f>
        <v>107250</v>
      </c>
      <c r="F207" s="76">
        <v>0.0</v>
      </c>
      <c r="G207" s="71">
        <f>B207*1.2</f>
        <v>732000</v>
      </c>
      <c r="H207" s="71">
        <f>G207-E207</f>
        <v>624750</v>
      </c>
      <c r="I207" s="109">
        <f>H207</f>
        <v>624750</v>
      </c>
      <c r="J207" s="53" t="s">
        <v>244</v>
      </c>
      <c r="L207" s="110" t="s">
        <v>226</v>
      </c>
      <c r="M207" s="110">
        <v>715.0</v>
      </c>
    </row>
    <row r="208" ht="15.75" hidden="1" customHeight="1">
      <c r="B208" s="45"/>
      <c r="C208" s="46"/>
      <c r="D208" s="46"/>
      <c r="E208" s="45"/>
      <c r="F208" s="45"/>
      <c r="G208" s="60"/>
      <c r="H208" s="60"/>
      <c r="I208" s="60"/>
    </row>
    <row r="209" ht="15.75" hidden="1" customHeight="1">
      <c r="B209" s="45"/>
      <c r="C209" s="46"/>
      <c r="D209" s="46"/>
      <c r="E209" s="45"/>
      <c r="F209" s="45"/>
      <c r="G209" s="60"/>
      <c r="H209" s="60"/>
      <c r="I209" s="60"/>
    </row>
    <row r="210" ht="15.75" hidden="1" customHeight="1">
      <c r="A210" s="57" t="s">
        <v>245</v>
      </c>
      <c r="B210" s="76" t="s">
        <v>230</v>
      </c>
      <c r="C210" s="46" t="s">
        <v>231</v>
      </c>
      <c r="D210" s="46" t="s">
        <v>109</v>
      </c>
      <c r="E210" s="76" t="s">
        <v>232</v>
      </c>
      <c r="F210" s="76" t="s">
        <v>9</v>
      </c>
      <c r="G210" s="60" t="s">
        <v>233</v>
      </c>
      <c r="L210" s="110" t="s">
        <v>226</v>
      </c>
      <c r="M210" s="110">
        <v>650.0</v>
      </c>
    </row>
    <row r="211" ht="15.75" hidden="1" customHeight="1">
      <c r="A211" s="117" t="s">
        <v>246</v>
      </c>
      <c r="B211" s="45">
        <v>16500.0</v>
      </c>
      <c r="C211" s="45">
        <v>15800.0</v>
      </c>
      <c r="D211" s="53">
        <v>47.0</v>
      </c>
      <c r="E211" s="108">
        <f t="shared" ref="E211:E215" si="38">D211*$M$210</f>
        <v>30550</v>
      </c>
      <c r="F211" s="108">
        <v>97000.0</v>
      </c>
      <c r="G211" s="108">
        <f t="shared" ref="G211:G215" si="39">F211*0.9</f>
        <v>87300</v>
      </c>
      <c r="H211" s="71">
        <f t="shared" ref="H211:H215" si="40">G211-E211</f>
        <v>56750</v>
      </c>
      <c r="I211" s="119">
        <f>SUM(H211:H215)</f>
        <v>283750</v>
      </c>
      <c r="J211" s="53" t="s">
        <v>244</v>
      </c>
    </row>
    <row r="212" ht="15.75" hidden="1" customHeight="1">
      <c r="A212" s="117" t="s">
        <v>247</v>
      </c>
      <c r="B212" s="45">
        <v>16500.0</v>
      </c>
      <c r="C212" s="45">
        <v>15800.0</v>
      </c>
      <c r="D212" s="53">
        <v>47.0</v>
      </c>
      <c r="E212" s="108">
        <f t="shared" si="38"/>
        <v>30550</v>
      </c>
      <c r="F212" s="108">
        <v>97000.0</v>
      </c>
      <c r="G212" s="108">
        <f t="shared" si="39"/>
        <v>87300</v>
      </c>
      <c r="H212" s="71">
        <f t="shared" si="40"/>
        <v>56750</v>
      </c>
      <c r="I212" s="120"/>
    </row>
    <row r="213" ht="15.75" hidden="1" customHeight="1">
      <c r="A213" s="117" t="s">
        <v>248</v>
      </c>
      <c r="B213" s="45">
        <v>16500.0</v>
      </c>
      <c r="C213" s="45">
        <v>15800.0</v>
      </c>
      <c r="D213" s="53">
        <v>47.0</v>
      </c>
      <c r="E213" s="108">
        <f t="shared" si="38"/>
        <v>30550</v>
      </c>
      <c r="F213" s="108">
        <v>97000.0</v>
      </c>
      <c r="G213" s="108">
        <f t="shared" si="39"/>
        <v>87300</v>
      </c>
      <c r="H213" s="71">
        <f t="shared" si="40"/>
        <v>56750</v>
      </c>
      <c r="I213" s="120"/>
    </row>
    <row r="214" ht="15.75" hidden="1" customHeight="1">
      <c r="A214" s="117" t="s">
        <v>249</v>
      </c>
      <c r="B214" s="45">
        <v>16500.0</v>
      </c>
      <c r="C214" s="45">
        <v>15800.0</v>
      </c>
      <c r="D214" s="53">
        <v>47.0</v>
      </c>
      <c r="E214" s="108">
        <f t="shared" si="38"/>
        <v>30550</v>
      </c>
      <c r="F214" s="108">
        <v>97000.0</v>
      </c>
      <c r="G214" s="108">
        <f t="shared" si="39"/>
        <v>87300</v>
      </c>
      <c r="H214" s="71">
        <f t="shared" si="40"/>
        <v>56750</v>
      </c>
      <c r="I214" s="120"/>
    </row>
    <row r="215" ht="15.75" hidden="1" customHeight="1">
      <c r="A215" s="117" t="s">
        <v>250</v>
      </c>
      <c r="B215" s="45">
        <v>16500.0</v>
      </c>
      <c r="C215" s="45">
        <v>15800.0</v>
      </c>
      <c r="D215" s="53">
        <v>47.0</v>
      </c>
      <c r="E215" s="108">
        <f t="shared" si="38"/>
        <v>30550</v>
      </c>
      <c r="F215" s="108">
        <v>97000.0</v>
      </c>
      <c r="G215" s="108">
        <f t="shared" si="39"/>
        <v>87300</v>
      </c>
      <c r="H215" s="71">
        <f t="shared" si="40"/>
        <v>56750</v>
      </c>
      <c r="I215" s="105"/>
    </row>
    <row r="216" ht="15.75" hidden="1" customHeight="1">
      <c r="B216" s="45"/>
      <c r="C216" s="46"/>
      <c r="D216" s="46"/>
      <c r="E216" s="45"/>
      <c r="F216" s="45"/>
      <c r="G216" s="60"/>
      <c r="H216" s="60"/>
      <c r="I216" s="60"/>
    </row>
    <row r="217" ht="15.75" hidden="1" customHeight="1">
      <c r="A217" s="53" t="s">
        <v>251</v>
      </c>
      <c r="B217" s="45"/>
      <c r="C217" s="46"/>
      <c r="D217" s="46"/>
      <c r="E217" s="45"/>
      <c r="F217" s="45"/>
      <c r="G217" s="60"/>
      <c r="H217" s="60"/>
      <c r="I217" s="60"/>
    </row>
    <row r="218" ht="15.75" hidden="1" customHeight="1">
      <c r="A218" s="7" t="s">
        <v>252</v>
      </c>
      <c r="B218" s="76" t="s">
        <v>253</v>
      </c>
      <c r="C218" s="46" t="s">
        <v>231</v>
      </c>
      <c r="D218" s="46" t="s">
        <v>109</v>
      </c>
      <c r="E218" s="76" t="s">
        <v>232</v>
      </c>
      <c r="F218" s="76" t="s">
        <v>9</v>
      </c>
      <c r="G218" s="60" t="s">
        <v>233</v>
      </c>
      <c r="H218" s="60"/>
      <c r="I218" s="60"/>
    </row>
    <row r="219" ht="15.75" hidden="1" customHeight="1">
      <c r="A219" s="117" t="s">
        <v>254</v>
      </c>
      <c r="B219" s="45">
        <v>83343.0</v>
      </c>
      <c r="C219" s="46"/>
      <c r="D219" s="46">
        <v>100.0</v>
      </c>
      <c r="E219" s="45">
        <v>65000.0</v>
      </c>
      <c r="F219" s="121">
        <v>161200.0</v>
      </c>
      <c r="G219" s="71">
        <f>F219*0.85</f>
        <v>137020</v>
      </c>
      <c r="H219" s="71">
        <f t="shared" ref="H219:H220" si="41">G219-E219</f>
        <v>72020</v>
      </c>
      <c r="I219" s="109">
        <f>SUM(H219:H220)</f>
        <v>139204</v>
      </c>
      <c r="J219" s="53" t="s">
        <v>244</v>
      </c>
      <c r="L219" s="110" t="s">
        <v>226</v>
      </c>
      <c r="M219" s="110">
        <v>650.0</v>
      </c>
    </row>
    <row r="220" ht="15.75" hidden="1" customHeight="1">
      <c r="A220" s="117" t="s">
        <v>255</v>
      </c>
      <c r="B220" s="45">
        <v>78939.0</v>
      </c>
      <c r="C220" s="46"/>
      <c r="D220" s="46">
        <v>100.0</v>
      </c>
      <c r="E220" s="45">
        <v>65000.0</v>
      </c>
      <c r="F220" s="45">
        <v>161200.0</v>
      </c>
      <c r="G220" s="71">
        <f>F220*0.82</f>
        <v>132184</v>
      </c>
      <c r="H220" s="71">
        <f t="shared" si="41"/>
        <v>67184</v>
      </c>
      <c r="I220" s="60"/>
    </row>
    <row r="221" ht="15.75" hidden="1" customHeight="1">
      <c r="B221" s="45"/>
      <c r="C221" s="46"/>
      <c r="D221" s="46"/>
      <c r="E221" s="45"/>
      <c r="F221" s="45"/>
      <c r="G221" s="60"/>
      <c r="H221" s="60"/>
      <c r="I221" s="60"/>
    </row>
    <row r="222" ht="15.75" hidden="1" customHeight="1">
      <c r="B222" s="45"/>
      <c r="C222" s="46"/>
      <c r="D222" s="46"/>
      <c r="E222" s="45"/>
      <c r="F222" s="45"/>
      <c r="G222" s="60"/>
      <c r="H222" s="60"/>
      <c r="I222" s="60"/>
    </row>
    <row r="223" ht="15.75" hidden="1" customHeight="1">
      <c r="A223" s="122" t="s">
        <v>256</v>
      </c>
      <c r="B223" s="76" t="s">
        <v>257</v>
      </c>
      <c r="C223" s="46" t="s">
        <v>231</v>
      </c>
      <c r="D223" s="46" t="s">
        <v>109</v>
      </c>
      <c r="E223" s="76" t="s">
        <v>232</v>
      </c>
      <c r="F223" s="76" t="s">
        <v>9</v>
      </c>
      <c r="G223" s="60" t="s">
        <v>233</v>
      </c>
      <c r="H223" s="60"/>
      <c r="I223" s="60"/>
      <c r="K223" s="110" t="s">
        <v>226</v>
      </c>
      <c r="L223" s="110">
        <v>635.0</v>
      </c>
    </row>
    <row r="224" ht="15.75" hidden="1" customHeight="1">
      <c r="A224" s="117" t="s">
        <v>258</v>
      </c>
      <c r="B224" s="45">
        <v>19100.0</v>
      </c>
      <c r="C224" s="45">
        <v>14700.0</v>
      </c>
      <c r="D224" s="46">
        <v>47.0</v>
      </c>
      <c r="E224" s="45">
        <f>D224*$L$223</f>
        <v>29845</v>
      </c>
      <c r="F224" s="76">
        <v>105000.0</v>
      </c>
      <c r="G224" s="71">
        <f>F224*0.9</f>
        <v>94500</v>
      </c>
      <c r="H224" s="71">
        <f>G224-E224</f>
        <v>64655</v>
      </c>
      <c r="I224" s="109">
        <f>H224</f>
        <v>64655</v>
      </c>
      <c r="J224" s="53" t="s">
        <v>244</v>
      </c>
    </row>
    <row r="225" ht="15.75" hidden="1" customHeight="1">
      <c r="A225" s="123"/>
      <c r="B225" s="45"/>
      <c r="C225" s="46"/>
      <c r="D225" s="46"/>
      <c r="E225" s="45"/>
      <c r="F225" s="45"/>
      <c r="G225" s="60"/>
      <c r="H225" s="60"/>
      <c r="I225" s="60"/>
    </row>
    <row r="226" ht="15.75" hidden="1" customHeight="1">
      <c r="A226" s="124" t="s">
        <v>259</v>
      </c>
      <c r="B226" s="76" t="s">
        <v>257</v>
      </c>
      <c r="C226" s="46" t="s">
        <v>231</v>
      </c>
      <c r="D226" s="46" t="s">
        <v>109</v>
      </c>
      <c r="E226" s="76" t="s">
        <v>232</v>
      </c>
      <c r="F226" s="76" t="s">
        <v>9</v>
      </c>
      <c r="G226" s="60" t="s">
        <v>233</v>
      </c>
      <c r="H226" s="60"/>
      <c r="I226" s="60"/>
    </row>
    <row r="227" ht="15.75" hidden="1" customHeight="1">
      <c r="A227" s="117" t="s">
        <v>258</v>
      </c>
      <c r="B227" s="45">
        <v>19100.0</v>
      </c>
      <c r="C227" s="45">
        <v>14700.0</v>
      </c>
      <c r="D227" s="46">
        <v>47.0</v>
      </c>
      <c r="E227" s="45">
        <f>D227*$L$223</f>
        <v>29845</v>
      </c>
      <c r="F227" s="76">
        <v>105000.0</v>
      </c>
      <c r="G227" s="71">
        <f>F227*0.9</f>
        <v>94500</v>
      </c>
      <c r="H227" s="71">
        <f>G227-E227</f>
        <v>64655</v>
      </c>
      <c r="I227" s="109">
        <f>H227</f>
        <v>64655</v>
      </c>
      <c r="J227" s="53" t="s">
        <v>244</v>
      </c>
    </row>
    <row r="228" ht="15.75" hidden="1" customHeight="1">
      <c r="A228" s="123"/>
      <c r="B228" s="45"/>
      <c r="C228" s="46"/>
      <c r="D228" s="46"/>
      <c r="E228" s="45"/>
      <c r="F228" s="45"/>
      <c r="G228" s="60"/>
      <c r="H228" s="60"/>
      <c r="I228" s="60"/>
    </row>
    <row r="229" ht="15.75" hidden="1" customHeight="1">
      <c r="A229" s="125" t="s">
        <v>260</v>
      </c>
      <c r="B229" s="76" t="s">
        <v>257</v>
      </c>
      <c r="C229" s="46" t="s">
        <v>231</v>
      </c>
      <c r="D229" s="46" t="s">
        <v>109</v>
      </c>
      <c r="E229" s="76" t="s">
        <v>232</v>
      </c>
      <c r="F229" s="76" t="s">
        <v>9</v>
      </c>
      <c r="G229" s="60" t="s">
        <v>233</v>
      </c>
      <c r="H229" s="60"/>
      <c r="I229" s="60"/>
    </row>
    <row r="230" ht="15.75" hidden="1" customHeight="1">
      <c r="A230" s="117" t="s">
        <v>258</v>
      </c>
      <c r="B230" s="45">
        <v>19100.0</v>
      </c>
      <c r="C230" s="45">
        <v>14700.0</v>
      </c>
      <c r="D230" s="46">
        <v>47.0</v>
      </c>
      <c r="E230" s="45">
        <f>D230*$L$223</f>
        <v>29845</v>
      </c>
      <c r="F230" s="76">
        <v>105000.0</v>
      </c>
      <c r="G230" s="71">
        <f>F230*0.9</f>
        <v>94500</v>
      </c>
      <c r="H230" s="71">
        <f>G230-E230</f>
        <v>64655</v>
      </c>
      <c r="I230" s="109">
        <f>H230</f>
        <v>64655</v>
      </c>
      <c r="J230" s="53" t="s">
        <v>244</v>
      </c>
    </row>
    <row r="231" ht="15.75" hidden="1" customHeight="1">
      <c r="B231" s="45"/>
      <c r="C231" s="46"/>
      <c r="D231" s="46"/>
      <c r="E231" s="45"/>
      <c r="F231" s="45"/>
      <c r="G231" s="60"/>
      <c r="H231" s="60"/>
      <c r="I231" s="60"/>
    </row>
    <row r="232" ht="15.75" hidden="1" customHeight="1">
      <c r="B232" s="45"/>
      <c r="C232" s="46"/>
      <c r="D232" s="46"/>
      <c r="E232" s="45"/>
      <c r="F232" s="45"/>
      <c r="G232" s="60"/>
      <c r="H232" s="60"/>
      <c r="I232" s="60"/>
    </row>
    <row r="233" ht="15.75" hidden="1" customHeight="1">
      <c r="A233" s="126" t="s">
        <v>261</v>
      </c>
      <c r="B233" s="45"/>
      <c r="C233" s="46"/>
      <c r="D233" s="46"/>
      <c r="E233" s="45"/>
      <c r="F233" s="45"/>
      <c r="G233" s="60"/>
      <c r="H233" s="60"/>
      <c r="I233" s="60"/>
    </row>
    <row r="234" ht="15.75" hidden="1" customHeight="1">
      <c r="B234" s="62"/>
      <c r="C234" s="62"/>
      <c r="D234" s="69"/>
      <c r="E234" s="62"/>
      <c r="F234" s="127"/>
      <c r="G234" s="60"/>
      <c r="H234" s="60"/>
      <c r="I234" s="71"/>
    </row>
    <row r="235" ht="15.75" hidden="1" customHeight="1">
      <c r="A235" s="125" t="s">
        <v>262</v>
      </c>
      <c r="B235" s="76" t="s">
        <v>257</v>
      </c>
      <c r="C235" s="46" t="s">
        <v>231</v>
      </c>
      <c r="D235" s="46" t="s">
        <v>109</v>
      </c>
      <c r="E235" s="76" t="s">
        <v>232</v>
      </c>
      <c r="F235" s="76" t="s">
        <v>9</v>
      </c>
      <c r="G235" s="60" t="s">
        <v>233</v>
      </c>
      <c r="H235" s="60"/>
      <c r="I235" s="60"/>
      <c r="K235" s="110" t="s">
        <v>226</v>
      </c>
      <c r="L235" s="110">
        <v>615.0</v>
      </c>
    </row>
    <row r="236" ht="15.75" hidden="1" customHeight="1">
      <c r="A236" s="53" t="s">
        <v>258</v>
      </c>
      <c r="B236" s="45">
        <v>19100.0</v>
      </c>
      <c r="C236" s="45">
        <v>19100.0</v>
      </c>
      <c r="D236" s="46">
        <v>47.0</v>
      </c>
      <c r="E236" s="45">
        <f>D236*$L$235</f>
        <v>28905</v>
      </c>
      <c r="F236" s="76">
        <v>115000.0</v>
      </c>
      <c r="G236" s="71">
        <f>F236*0.9</f>
        <v>103500</v>
      </c>
      <c r="H236" s="71">
        <f>G236-E236</f>
        <v>74595</v>
      </c>
      <c r="I236" s="109">
        <f>H236</f>
        <v>74595</v>
      </c>
      <c r="J236" s="53" t="s">
        <v>244</v>
      </c>
    </row>
    <row r="237" ht="15.75" hidden="1" customHeight="1">
      <c r="B237" s="45"/>
      <c r="C237" s="46"/>
      <c r="D237" s="46"/>
      <c r="E237" s="45"/>
      <c r="F237" s="45"/>
      <c r="G237" s="60"/>
      <c r="H237" s="60"/>
      <c r="I237" s="60"/>
    </row>
    <row r="238" ht="15.75" hidden="1" customHeight="1">
      <c r="A238" s="125" t="s">
        <v>263</v>
      </c>
      <c r="B238" s="76" t="s">
        <v>257</v>
      </c>
      <c r="C238" s="46" t="s">
        <v>231</v>
      </c>
      <c r="D238" s="46" t="s">
        <v>109</v>
      </c>
      <c r="E238" s="76" t="s">
        <v>232</v>
      </c>
      <c r="F238" s="76" t="s">
        <v>9</v>
      </c>
      <c r="G238" s="60" t="s">
        <v>233</v>
      </c>
      <c r="H238" s="60"/>
      <c r="I238" s="60"/>
    </row>
    <row r="239" ht="15.75" hidden="1" customHeight="1">
      <c r="A239" s="53" t="s">
        <v>258</v>
      </c>
      <c r="B239" s="45">
        <v>19100.0</v>
      </c>
      <c r="C239" s="45">
        <v>19100.0</v>
      </c>
      <c r="D239" s="46">
        <v>47.0</v>
      </c>
      <c r="E239" s="45">
        <f>D239*$L$235</f>
        <v>28905</v>
      </c>
      <c r="F239" s="76">
        <v>115000.0</v>
      </c>
      <c r="G239" s="71">
        <f>F239*0.9</f>
        <v>103500</v>
      </c>
      <c r="H239" s="71">
        <f>G239-E239</f>
        <v>74595</v>
      </c>
      <c r="I239" s="109">
        <f>H239</f>
        <v>74595</v>
      </c>
      <c r="J239" s="53" t="s">
        <v>244</v>
      </c>
    </row>
    <row r="240" ht="15.75" hidden="1" customHeight="1">
      <c r="B240" s="45"/>
      <c r="C240" s="46"/>
      <c r="D240" s="46"/>
      <c r="E240" s="45"/>
      <c r="F240" s="45"/>
      <c r="G240" s="60"/>
      <c r="H240" s="60"/>
      <c r="I240" s="60"/>
    </row>
    <row r="241" ht="15.75" hidden="1" customHeight="1">
      <c r="A241" s="125" t="s">
        <v>264</v>
      </c>
      <c r="B241" s="76" t="s">
        <v>257</v>
      </c>
      <c r="C241" s="46" t="s">
        <v>231</v>
      </c>
      <c r="D241" s="46" t="s">
        <v>109</v>
      </c>
      <c r="E241" s="76" t="s">
        <v>232</v>
      </c>
      <c r="F241" s="76" t="s">
        <v>9</v>
      </c>
      <c r="G241" s="60" t="s">
        <v>233</v>
      </c>
      <c r="H241" s="60"/>
      <c r="I241" s="60"/>
    </row>
    <row r="242" ht="15.75" hidden="1" customHeight="1">
      <c r="A242" s="53" t="s">
        <v>258</v>
      </c>
      <c r="B242" s="45">
        <v>19100.0</v>
      </c>
      <c r="C242" s="45">
        <v>19100.0</v>
      </c>
      <c r="D242" s="46">
        <v>47.0</v>
      </c>
      <c r="E242" s="45">
        <f>D242*$L$235</f>
        <v>28905</v>
      </c>
      <c r="F242" s="76">
        <v>115000.0</v>
      </c>
      <c r="G242" s="71">
        <f>F242*0.9</f>
        <v>103500</v>
      </c>
      <c r="H242" s="71">
        <f>G242-E242</f>
        <v>74595</v>
      </c>
      <c r="I242" s="109">
        <f>H242</f>
        <v>74595</v>
      </c>
      <c r="J242" s="53" t="s">
        <v>244</v>
      </c>
    </row>
    <row r="243" ht="15.75" hidden="1" customHeight="1">
      <c r="B243" s="45"/>
      <c r="C243" s="46"/>
      <c r="D243" s="46"/>
      <c r="E243" s="45"/>
      <c r="F243" s="45"/>
      <c r="G243" s="60"/>
      <c r="H243" s="60"/>
      <c r="I243" s="60"/>
    </row>
    <row r="244" ht="15.75" hidden="1" customHeight="1">
      <c r="A244" s="125" t="s">
        <v>265</v>
      </c>
      <c r="B244" s="76" t="s">
        <v>257</v>
      </c>
      <c r="C244" s="46" t="s">
        <v>231</v>
      </c>
      <c r="D244" s="46" t="s">
        <v>109</v>
      </c>
      <c r="E244" s="76" t="s">
        <v>232</v>
      </c>
      <c r="F244" s="76" t="s">
        <v>9</v>
      </c>
      <c r="G244" s="60" t="s">
        <v>233</v>
      </c>
      <c r="H244" s="60"/>
      <c r="I244" s="60"/>
    </row>
    <row r="245" ht="15.75" hidden="1" customHeight="1">
      <c r="A245" s="53" t="s">
        <v>266</v>
      </c>
      <c r="B245" s="45">
        <v>46850.0</v>
      </c>
      <c r="C245" s="45">
        <v>19100.0</v>
      </c>
      <c r="D245" s="46">
        <v>50.0</v>
      </c>
      <c r="E245" s="45">
        <f t="shared" ref="E245:E247" si="42">D245*$L$235</f>
        <v>30750</v>
      </c>
      <c r="F245" s="128">
        <v>62000.0</v>
      </c>
      <c r="G245" s="71">
        <f t="shared" ref="G245:G247" si="43">F245*0.9</f>
        <v>55800</v>
      </c>
      <c r="H245" s="71">
        <f t="shared" ref="H245:H247" si="44">G245-E245</f>
        <v>25050</v>
      </c>
      <c r="I245" s="109">
        <f t="shared" ref="I245:I247" si="45">H245</f>
        <v>25050</v>
      </c>
      <c r="J245" s="53" t="s">
        <v>244</v>
      </c>
    </row>
    <row r="246" ht="15.75" hidden="1" customHeight="1">
      <c r="A246" s="53" t="s">
        <v>267</v>
      </c>
      <c r="B246" s="45">
        <v>50068.0</v>
      </c>
      <c r="C246" s="45">
        <v>19100.0</v>
      </c>
      <c r="D246" s="46">
        <v>50.0</v>
      </c>
      <c r="E246" s="45">
        <f t="shared" si="42"/>
        <v>30750</v>
      </c>
      <c r="F246" s="128">
        <v>62000.0</v>
      </c>
      <c r="G246" s="71">
        <f t="shared" si="43"/>
        <v>55800</v>
      </c>
      <c r="H246" s="71">
        <f t="shared" si="44"/>
        <v>25050</v>
      </c>
      <c r="I246" s="109">
        <f t="shared" si="45"/>
        <v>25050</v>
      </c>
      <c r="J246" s="53" t="s">
        <v>244</v>
      </c>
    </row>
    <row r="247" ht="15.75" hidden="1" customHeight="1">
      <c r="A247" s="53" t="s">
        <v>268</v>
      </c>
      <c r="B247" s="45">
        <v>298000.0</v>
      </c>
      <c r="C247" s="45">
        <v>19100.0</v>
      </c>
      <c r="D247" s="46">
        <v>300.0</v>
      </c>
      <c r="E247" s="45">
        <f t="shared" si="42"/>
        <v>184500</v>
      </c>
      <c r="F247" s="128">
        <v>372000.0</v>
      </c>
      <c r="G247" s="71">
        <f t="shared" si="43"/>
        <v>334800</v>
      </c>
      <c r="H247" s="71">
        <f t="shared" si="44"/>
        <v>150300</v>
      </c>
      <c r="I247" s="109">
        <f t="shared" si="45"/>
        <v>150300</v>
      </c>
      <c r="J247" s="53" t="s">
        <v>244</v>
      </c>
    </row>
    <row r="248" ht="15.75" hidden="1" customHeight="1">
      <c r="B248" s="45"/>
      <c r="C248" s="46"/>
      <c r="D248" s="46"/>
      <c r="E248" s="45"/>
      <c r="F248" s="45"/>
      <c r="G248" s="60"/>
      <c r="H248" s="60"/>
      <c r="I248" s="60"/>
    </row>
    <row r="249" ht="15.75" hidden="1" customHeight="1">
      <c r="B249" s="45"/>
      <c r="C249" s="46"/>
      <c r="D249" s="46"/>
      <c r="E249" s="45"/>
      <c r="F249" s="45"/>
      <c r="G249" s="60"/>
      <c r="H249" s="60"/>
      <c r="I249" s="60"/>
    </row>
    <row r="250" ht="15.75" hidden="1" customHeight="1">
      <c r="A250" s="126" t="s">
        <v>269</v>
      </c>
      <c r="B250" s="45"/>
      <c r="C250" s="46"/>
      <c r="D250" s="46"/>
      <c r="E250" s="45"/>
      <c r="F250" s="45"/>
      <c r="G250" s="60"/>
      <c r="H250" s="60"/>
      <c r="I250" s="60"/>
      <c r="K250" s="110" t="s">
        <v>226</v>
      </c>
      <c r="L250" s="110">
        <v>755.0</v>
      </c>
    </row>
    <row r="251" ht="15.75" hidden="1" customHeight="1">
      <c r="B251" s="62"/>
      <c r="C251" s="62"/>
      <c r="D251" s="69"/>
      <c r="E251" s="62"/>
      <c r="F251" s="127"/>
      <c r="G251" s="60"/>
      <c r="H251" s="60"/>
      <c r="I251" s="71"/>
    </row>
    <row r="252" ht="15.75" hidden="1" customHeight="1">
      <c r="A252" s="125" t="s">
        <v>270</v>
      </c>
      <c r="B252" s="76" t="s">
        <v>257</v>
      </c>
      <c r="C252" s="46" t="s">
        <v>231</v>
      </c>
      <c r="D252" s="46" t="s">
        <v>109</v>
      </c>
      <c r="E252" s="76" t="s">
        <v>232</v>
      </c>
      <c r="F252" s="76" t="s">
        <v>9</v>
      </c>
      <c r="G252" s="60" t="s">
        <v>233</v>
      </c>
      <c r="H252" s="60"/>
      <c r="I252" s="60"/>
    </row>
    <row r="253" ht="15.75" hidden="1" customHeight="1">
      <c r="A253" s="53" t="s">
        <v>266</v>
      </c>
      <c r="B253" s="45">
        <v>46837.0</v>
      </c>
      <c r="C253" s="45">
        <v>19500.0</v>
      </c>
      <c r="D253" s="46">
        <v>50.0</v>
      </c>
      <c r="E253" s="45">
        <f t="shared" ref="E253:E255" si="46">D253*$L$250</f>
        <v>37750</v>
      </c>
      <c r="F253" s="76">
        <v>62000.0</v>
      </c>
      <c r="G253" s="71">
        <f t="shared" ref="G253:G255" si="47">F253*0.9</f>
        <v>55800</v>
      </c>
      <c r="H253" s="71">
        <f t="shared" ref="H253:H255" si="48">G253-E253</f>
        <v>18050</v>
      </c>
      <c r="I253" s="109">
        <f t="shared" ref="I253:I255" si="49">H253</f>
        <v>18050</v>
      </c>
      <c r="J253" s="53" t="s">
        <v>244</v>
      </c>
    </row>
    <row r="254" ht="15.75" hidden="1" customHeight="1">
      <c r="A254" s="53" t="s">
        <v>267</v>
      </c>
      <c r="B254" s="45">
        <v>50068.0</v>
      </c>
      <c r="C254" s="45">
        <v>19500.0</v>
      </c>
      <c r="D254" s="46">
        <v>50.0</v>
      </c>
      <c r="E254" s="45">
        <f t="shared" si="46"/>
        <v>37750</v>
      </c>
      <c r="F254" s="76">
        <v>62000.0</v>
      </c>
      <c r="G254" s="71">
        <f t="shared" si="47"/>
        <v>55800</v>
      </c>
      <c r="H254" s="71">
        <f t="shared" si="48"/>
        <v>18050</v>
      </c>
      <c r="I254" s="109">
        <f t="shared" si="49"/>
        <v>18050</v>
      </c>
      <c r="J254" s="53" t="s">
        <v>244</v>
      </c>
    </row>
    <row r="255" ht="15.75" hidden="1" customHeight="1">
      <c r="A255" s="53" t="s">
        <v>271</v>
      </c>
      <c r="B255" s="45">
        <v>36943.0</v>
      </c>
      <c r="C255" s="45">
        <v>19500.0</v>
      </c>
      <c r="D255" s="46">
        <v>40.0</v>
      </c>
      <c r="E255" s="45">
        <f t="shared" si="46"/>
        <v>30200</v>
      </c>
      <c r="F255" s="76">
        <v>49600.0</v>
      </c>
      <c r="G255" s="71">
        <f t="shared" si="47"/>
        <v>44640</v>
      </c>
      <c r="H255" s="71">
        <f t="shared" si="48"/>
        <v>14440</v>
      </c>
      <c r="I255" s="109">
        <f t="shared" si="49"/>
        <v>14440</v>
      </c>
      <c r="J255" s="53" t="s">
        <v>244</v>
      </c>
    </row>
    <row r="256" ht="15.75" hidden="1" customHeight="1">
      <c r="B256" s="45"/>
      <c r="C256" s="46"/>
      <c r="D256" s="46"/>
      <c r="E256" s="45"/>
      <c r="F256" s="45"/>
      <c r="G256" s="60"/>
      <c r="H256" s="60"/>
      <c r="I256" s="60"/>
    </row>
    <row r="257" ht="15.75" hidden="1" customHeight="1">
      <c r="A257" s="125" t="s">
        <v>272</v>
      </c>
      <c r="B257" s="76" t="s">
        <v>257</v>
      </c>
      <c r="C257" s="46" t="s">
        <v>231</v>
      </c>
      <c r="D257" s="46" t="s">
        <v>109</v>
      </c>
      <c r="E257" s="76" t="s">
        <v>232</v>
      </c>
      <c r="F257" s="76" t="s">
        <v>9</v>
      </c>
      <c r="G257" s="60" t="s">
        <v>233</v>
      </c>
      <c r="H257" s="60"/>
      <c r="I257" s="60"/>
    </row>
    <row r="258" ht="15.75" hidden="1" customHeight="1">
      <c r="A258" s="53" t="s">
        <v>273</v>
      </c>
      <c r="B258" s="45">
        <v>78399.0</v>
      </c>
      <c r="C258" s="45">
        <v>19500.0</v>
      </c>
      <c r="D258" s="46"/>
      <c r="E258" s="45">
        <f>D258*$L$250</f>
        <v>0</v>
      </c>
      <c r="F258" s="76"/>
      <c r="G258" s="71">
        <f>SUM(B258:C258)*1.2</f>
        <v>117478.8</v>
      </c>
      <c r="H258" s="71">
        <f>G258-E258</f>
        <v>117478.8</v>
      </c>
      <c r="I258" s="109">
        <f>H258</f>
        <v>117478.8</v>
      </c>
      <c r="J258" s="53" t="s">
        <v>244</v>
      </c>
    </row>
    <row r="259" ht="15.75" hidden="1" customHeight="1">
      <c r="B259" s="45"/>
      <c r="C259" s="46"/>
      <c r="D259" s="46"/>
      <c r="E259" s="45"/>
      <c r="F259" s="45"/>
      <c r="G259" s="60"/>
      <c r="H259" s="60"/>
      <c r="I259" s="60"/>
    </row>
    <row r="260" ht="15.75" hidden="1" customHeight="1">
      <c r="A260" s="125" t="s">
        <v>274</v>
      </c>
      <c r="B260" s="76" t="s">
        <v>257</v>
      </c>
      <c r="C260" s="46" t="s">
        <v>231</v>
      </c>
      <c r="D260" s="46" t="s">
        <v>109</v>
      </c>
      <c r="E260" s="76" t="s">
        <v>232</v>
      </c>
      <c r="F260" s="76" t="s">
        <v>9</v>
      </c>
      <c r="G260" s="60" t="s">
        <v>233</v>
      </c>
      <c r="H260" s="60"/>
      <c r="I260" s="60"/>
    </row>
    <row r="261" ht="15.75" hidden="1" customHeight="1">
      <c r="A261" s="53" t="s">
        <v>258</v>
      </c>
      <c r="B261" s="45">
        <v>19500.0</v>
      </c>
      <c r="C261" s="45">
        <v>19500.0</v>
      </c>
      <c r="D261" s="46">
        <v>47.0</v>
      </c>
      <c r="E261" s="45">
        <f>D261*$L$250</f>
        <v>35485</v>
      </c>
      <c r="F261" s="76">
        <v>118000.0</v>
      </c>
      <c r="G261" s="71">
        <f>F261*0.935</f>
        <v>110330</v>
      </c>
      <c r="H261" s="71">
        <f>G261-E261</f>
        <v>74845</v>
      </c>
      <c r="I261" s="109">
        <f>H261</f>
        <v>74845</v>
      </c>
      <c r="J261" s="53" t="s">
        <v>244</v>
      </c>
    </row>
    <row r="262" ht="15.75" hidden="1" customHeight="1">
      <c r="B262" s="45"/>
      <c r="C262" s="46"/>
      <c r="D262" s="46"/>
      <c r="E262" s="45"/>
      <c r="F262" s="45"/>
      <c r="G262" s="60"/>
      <c r="H262" s="60"/>
      <c r="I262" s="60"/>
    </row>
    <row r="263" ht="15.75" hidden="1" customHeight="1">
      <c r="B263" s="45"/>
      <c r="C263" s="46"/>
      <c r="D263" s="46"/>
      <c r="E263" s="45"/>
      <c r="F263" s="45"/>
      <c r="G263" s="60"/>
      <c r="H263" s="60"/>
      <c r="I263" s="60"/>
    </row>
    <row r="264" ht="15.75" hidden="1" customHeight="1">
      <c r="A264" s="125" t="s">
        <v>275</v>
      </c>
      <c r="B264" s="76" t="s">
        <v>257</v>
      </c>
      <c r="C264" s="46" t="s">
        <v>231</v>
      </c>
      <c r="D264" s="46" t="s">
        <v>109</v>
      </c>
      <c r="E264" s="76" t="s">
        <v>232</v>
      </c>
      <c r="F264" s="76" t="s">
        <v>9</v>
      </c>
      <c r="G264" s="60" t="s">
        <v>233</v>
      </c>
      <c r="H264" s="60"/>
      <c r="I264" s="60"/>
    </row>
    <row r="265" ht="15.75" hidden="1" customHeight="1">
      <c r="A265" s="53" t="s">
        <v>276</v>
      </c>
      <c r="B265" s="45">
        <v>105840.0</v>
      </c>
      <c r="C265" s="45">
        <v>19500.0</v>
      </c>
      <c r="D265" s="46">
        <v>150.0</v>
      </c>
      <c r="E265" s="45">
        <f>D265*$L$250</f>
        <v>113250</v>
      </c>
      <c r="F265" s="76">
        <v>186000.0</v>
      </c>
      <c r="G265" s="71">
        <f>F265*0.9</f>
        <v>167400</v>
      </c>
      <c r="H265" s="71">
        <f>G265-E265</f>
        <v>54150</v>
      </c>
      <c r="I265" s="109">
        <f>H265</f>
        <v>54150</v>
      </c>
      <c r="J265" s="53" t="s">
        <v>244</v>
      </c>
    </row>
    <row r="266" ht="15.75" hidden="1" customHeight="1">
      <c r="B266" s="45"/>
      <c r="C266" s="46"/>
      <c r="D266" s="46"/>
      <c r="E266" s="45"/>
      <c r="F266" s="45"/>
      <c r="G266" s="60"/>
      <c r="H266" s="60"/>
      <c r="I266" s="60"/>
    </row>
    <row r="267" ht="15.75" hidden="1" customHeight="1">
      <c r="A267" s="125" t="s">
        <v>277</v>
      </c>
      <c r="B267" s="76" t="s">
        <v>257</v>
      </c>
      <c r="C267" s="46" t="s">
        <v>231</v>
      </c>
      <c r="D267" s="46" t="s">
        <v>109</v>
      </c>
      <c r="E267" s="76" t="s">
        <v>232</v>
      </c>
      <c r="F267" s="76" t="s">
        <v>9</v>
      </c>
      <c r="G267" s="60" t="s">
        <v>233</v>
      </c>
      <c r="H267" s="60"/>
      <c r="I267" s="60"/>
    </row>
    <row r="268" ht="15.75" hidden="1" customHeight="1">
      <c r="A268" s="53" t="s">
        <v>266</v>
      </c>
      <c r="B268" s="45">
        <v>46837.0</v>
      </c>
      <c r="C268" s="45">
        <v>19500.0</v>
      </c>
      <c r="D268" s="46">
        <v>50.0</v>
      </c>
      <c r="E268" s="45">
        <f t="shared" ref="E268:E270" si="50">D268*$L$250</f>
        <v>37750</v>
      </c>
      <c r="F268" s="76">
        <v>62000.0</v>
      </c>
      <c r="G268" s="71">
        <f t="shared" ref="G268:G270" si="51">F268*0.9</f>
        <v>55800</v>
      </c>
      <c r="H268" s="71">
        <f t="shared" ref="H268:H270" si="52">G268-E268</f>
        <v>18050</v>
      </c>
      <c r="I268" s="109">
        <f t="shared" ref="I268:I270" si="53">H268</f>
        <v>18050</v>
      </c>
      <c r="J268" s="53" t="s">
        <v>244</v>
      </c>
    </row>
    <row r="269" ht="15.75" hidden="1" customHeight="1">
      <c r="A269" s="53" t="s">
        <v>278</v>
      </c>
      <c r="B269" s="45">
        <v>36943.0</v>
      </c>
      <c r="C269" s="45">
        <v>19500.0</v>
      </c>
      <c r="D269" s="46">
        <v>40.0</v>
      </c>
      <c r="E269" s="45">
        <f t="shared" si="50"/>
        <v>30200</v>
      </c>
      <c r="F269" s="76">
        <v>49600.0</v>
      </c>
      <c r="G269" s="71">
        <f t="shared" si="51"/>
        <v>44640</v>
      </c>
      <c r="H269" s="71">
        <f t="shared" si="52"/>
        <v>14440</v>
      </c>
      <c r="I269" s="109">
        <f t="shared" si="53"/>
        <v>14440</v>
      </c>
      <c r="J269" s="53" t="s">
        <v>244</v>
      </c>
    </row>
    <row r="270" ht="15.75" hidden="1" customHeight="1">
      <c r="A270" s="53" t="s">
        <v>279</v>
      </c>
      <c r="B270" s="45">
        <v>18976.94</v>
      </c>
      <c r="C270" s="45">
        <v>19500.0</v>
      </c>
      <c r="D270" s="46">
        <v>40.0</v>
      </c>
      <c r="E270" s="45">
        <f t="shared" si="50"/>
        <v>30200</v>
      </c>
      <c r="F270" s="76">
        <v>49600.0</v>
      </c>
      <c r="G270" s="71">
        <f t="shared" si="51"/>
        <v>44640</v>
      </c>
      <c r="H270" s="71">
        <f t="shared" si="52"/>
        <v>14440</v>
      </c>
      <c r="I270" s="109">
        <f t="shared" si="53"/>
        <v>14440</v>
      </c>
      <c r="J270" s="53" t="s">
        <v>244</v>
      </c>
    </row>
    <row r="271" ht="15.75" hidden="1" customHeight="1">
      <c r="B271" s="45"/>
      <c r="C271" s="45"/>
      <c r="D271" s="46"/>
      <c r="E271" s="45"/>
      <c r="F271" s="76"/>
      <c r="G271" s="60"/>
      <c r="H271" s="60"/>
      <c r="I271" s="109"/>
    </row>
    <row r="272" ht="15.75" hidden="1" customHeight="1">
      <c r="B272" s="45"/>
      <c r="C272" s="46"/>
      <c r="D272" s="46"/>
      <c r="E272" s="45"/>
      <c r="F272" s="45"/>
      <c r="G272" s="60"/>
      <c r="H272" s="60"/>
      <c r="I272" s="60"/>
    </row>
    <row r="273" ht="15.75" hidden="1" customHeight="1">
      <c r="B273" s="45"/>
      <c r="C273" s="46"/>
      <c r="D273" s="46"/>
      <c r="E273" s="45"/>
      <c r="F273" s="45"/>
      <c r="G273" s="60"/>
      <c r="H273" s="60"/>
      <c r="I273" s="60"/>
    </row>
    <row r="274" ht="15.75" hidden="1" customHeight="1">
      <c r="B274" s="45"/>
      <c r="C274" s="46"/>
      <c r="D274" s="46"/>
      <c r="E274" s="45"/>
      <c r="F274" s="45"/>
      <c r="G274" s="60"/>
      <c r="H274" s="60"/>
      <c r="I274" s="60"/>
    </row>
    <row r="275" ht="15.75" hidden="1" customHeight="1">
      <c r="A275" s="129" t="s">
        <v>280</v>
      </c>
      <c r="B275" s="45"/>
      <c r="C275" s="46"/>
      <c r="D275" s="46"/>
      <c r="E275" s="45"/>
      <c r="F275" s="45"/>
      <c r="G275" s="60"/>
      <c r="H275" s="60"/>
      <c r="I275" s="60" t="s">
        <v>111</v>
      </c>
    </row>
    <row r="276" ht="15.75" hidden="1" customHeight="1">
      <c r="B276" s="45"/>
      <c r="C276" s="46"/>
      <c r="D276" s="46"/>
      <c r="E276" s="45"/>
      <c r="F276" s="45"/>
      <c r="G276" s="60"/>
      <c r="H276" s="60"/>
      <c r="I276" s="60"/>
    </row>
    <row r="277" ht="15.75" hidden="1" customHeight="1">
      <c r="B277" s="45"/>
      <c r="C277" s="46"/>
      <c r="D277" s="46"/>
      <c r="E277" s="45"/>
      <c r="F277" s="45"/>
      <c r="G277" s="60"/>
      <c r="H277" s="60"/>
      <c r="I277" s="60"/>
    </row>
    <row r="278" ht="15.75" hidden="1" customHeight="1">
      <c r="B278" s="45"/>
      <c r="C278" s="46"/>
      <c r="D278" s="46"/>
      <c r="E278" s="45"/>
      <c r="F278" s="45"/>
      <c r="G278" s="60"/>
      <c r="H278" s="60"/>
      <c r="I278" s="60"/>
    </row>
    <row r="279" ht="15.75" hidden="1" customHeight="1">
      <c r="A279" s="125" t="s">
        <v>281</v>
      </c>
      <c r="B279" s="127" t="s">
        <v>257</v>
      </c>
      <c r="C279" s="69" t="s">
        <v>231</v>
      </c>
      <c r="D279" s="69" t="s">
        <v>109</v>
      </c>
      <c r="E279" s="127" t="s">
        <v>232</v>
      </c>
      <c r="F279" s="127" t="s">
        <v>9</v>
      </c>
      <c r="G279" s="64" t="s">
        <v>233</v>
      </c>
      <c r="H279" s="64"/>
      <c r="I279" s="130">
        <v>0.3</v>
      </c>
      <c r="K279" s="110" t="s">
        <v>226</v>
      </c>
      <c r="L279" s="110">
        <v>755.0</v>
      </c>
    </row>
    <row r="280" ht="15.75" hidden="1" customHeight="1">
      <c r="A280" s="123" t="s">
        <v>282</v>
      </c>
      <c r="B280" s="62">
        <v>532825.0</v>
      </c>
      <c r="C280" s="62">
        <v>19500.0</v>
      </c>
      <c r="D280" s="69">
        <v>900.0</v>
      </c>
      <c r="E280" s="62">
        <f>D280*$L$235</f>
        <v>553500</v>
      </c>
      <c r="F280" s="131">
        <v>1116000.0</v>
      </c>
      <c r="G280" s="65">
        <f>F280*0.88</f>
        <v>982080</v>
      </c>
      <c r="H280" s="65">
        <f>G280-E280</f>
        <v>428580</v>
      </c>
      <c r="I280" s="109">
        <f>+IF(OR(F280="",E280&lt;(SUM(B280:C280)*(1+$I$279))),H280,"No Cobrar")</f>
        <v>428580</v>
      </c>
      <c r="J280" s="53" t="s">
        <v>238</v>
      </c>
    </row>
    <row r="281" ht="15.75" hidden="1" customHeight="1">
      <c r="B281" s="45"/>
      <c r="C281" s="46"/>
      <c r="D281" s="46"/>
      <c r="E281" s="45"/>
      <c r="F281" s="45"/>
      <c r="G281" s="60"/>
      <c r="H281" s="60"/>
      <c r="I281" s="60"/>
    </row>
    <row r="282" ht="15.75" hidden="1" customHeight="1">
      <c r="A282" s="57" t="s">
        <v>283</v>
      </c>
      <c r="B282" s="45"/>
      <c r="C282" s="46"/>
      <c r="D282" s="46"/>
      <c r="E282" s="45"/>
      <c r="F282" s="45"/>
      <c r="G282" s="60"/>
      <c r="H282" s="60"/>
      <c r="I282" s="60"/>
    </row>
    <row r="283" ht="15.75" hidden="1" customHeight="1">
      <c r="A283" s="53" t="s">
        <v>284</v>
      </c>
      <c r="B283" s="45">
        <v>1248434.0</v>
      </c>
      <c r="C283" s="46">
        <v>19500.0</v>
      </c>
      <c r="D283" s="46">
        <v>300.0</v>
      </c>
      <c r="E283" s="45">
        <f>D283*L250</f>
        <v>226500</v>
      </c>
      <c r="F283" s="45">
        <v>372000.0</v>
      </c>
      <c r="G283" s="71">
        <f>SUM(B283:C283)*1.25</f>
        <v>1584917.5</v>
      </c>
      <c r="H283" s="71">
        <f>G283-E283</f>
        <v>1358417.5</v>
      </c>
      <c r="I283" s="109">
        <f>+IF(OR(F283="",E283&lt;(SUM(B283:C283)*(1+$I$279))),H283,"No Cobrar")</f>
        <v>1358417.5</v>
      </c>
    </row>
    <row r="284" ht="15.75" hidden="1" customHeight="1">
      <c r="B284" s="45"/>
      <c r="C284" s="46"/>
      <c r="D284" s="46"/>
      <c r="E284" s="45"/>
      <c r="F284" s="45"/>
      <c r="G284" s="60"/>
      <c r="H284" s="60"/>
      <c r="I284" s="109"/>
    </row>
    <row r="285" ht="15.75" hidden="1" customHeight="1">
      <c r="A285" s="57" t="s">
        <v>285</v>
      </c>
      <c r="B285" s="45"/>
      <c r="C285" s="46"/>
      <c r="D285" s="46"/>
      <c r="E285" s="45"/>
      <c r="F285" s="45"/>
      <c r="G285" s="60"/>
      <c r="H285" s="60"/>
      <c r="I285" s="60"/>
    </row>
    <row r="286" ht="15.75" hidden="1" customHeight="1">
      <c r="A286" s="53" t="s">
        <v>286</v>
      </c>
      <c r="B286" s="45">
        <v>51041.24</v>
      </c>
      <c r="C286" s="46">
        <v>19500.0</v>
      </c>
      <c r="D286" s="46">
        <v>100.0</v>
      </c>
      <c r="E286" s="45">
        <f>D286*$L$279</f>
        <v>75500</v>
      </c>
      <c r="F286" s="45">
        <v>131000.0</v>
      </c>
      <c r="G286" s="71">
        <f>F286*0.9</f>
        <v>117900</v>
      </c>
      <c r="H286" s="71">
        <f>G286-E286</f>
        <v>42400</v>
      </c>
      <c r="I286" s="109">
        <f>+IF(OR(F286="",E286&lt;(SUM(B286:C286)*(1+$I$279))),H286,"No Cobrar")</f>
        <v>42400</v>
      </c>
    </row>
    <row r="287" ht="15.75" hidden="1" customHeight="1">
      <c r="B287" s="45"/>
      <c r="C287" s="46"/>
      <c r="D287" s="46"/>
      <c r="E287" s="45"/>
      <c r="F287" s="45"/>
      <c r="G287" s="60"/>
      <c r="H287" s="60"/>
      <c r="I287" s="60"/>
    </row>
    <row r="288" ht="15.75" hidden="1" customHeight="1">
      <c r="A288" s="57" t="s">
        <v>287</v>
      </c>
      <c r="B288" s="45"/>
      <c r="C288" s="46"/>
      <c r="D288" s="46"/>
      <c r="E288" s="45"/>
      <c r="F288" s="45"/>
      <c r="G288" s="60"/>
      <c r="H288" s="60"/>
      <c r="I288" s="60"/>
    </row>
    <row r="289" ht="15.75" hidden="1" customHeight="1">
      <c r="A289" s="53" t="s">
        <v>286</v>
      </c>
      <c r="B289" s="45">
        <v>51041.24</v>
      </c>
      <c r="C289" s="46">
        <v>19500.0</v>
      </c>
      <c r="D289" s="46">
        <v>100.0</v>
      </c>
      <c r="E289" s="45">
        <f>D289*$L$279</f>
        <v>75500</v>
      </c>
      <c r="F289" s="45">
        <v>131000.0</v>
      </c>
      <c r="G289" s="71">
        <f>F289*0.9</f>
        <v>117900</v>
      </c>
      <c r="H289" s="71">
        <f>G289-E289</f>
        <v>42400</v>
      </c>
      <c r="I289" s="109">
        <f>+IF(OR(F289="",E289&lt;(SUM(B289:C289)*(1+$I$279))),H289,"No Cobrar")</f>
        <v>42400</v>
      </c>
    </row>
    <row r="290" ht="15.75" hidden="1" customHeight="1">
      <c r="B290" s="45"/>
      <c r="C290" s="46"/>
      <c r="D290" s="46"/>
      <c r="E290" s="45"/>
      <c r="F290" s="45"/>
      <c r="G290" s="60"/>
      <c r="H290" s="60"/>
      <c r="I290" s="60"/>
    </row>
    <row r="291" ht="15.75" hidden="1" customHeight="1">
      <c r="A291" s="57" t="s">
        <v>288</v>
      </c>
      <c r="B291" s="45"/>
      <c r="C291" s="46"/>
      <c r="D291" s="46"/>
      <c r="E291" s="45"/>
      <c r="F291" s="45"/>
      <c r="G291" s="60"/>
      <c r="H291" s="60"/>
      <c r="I291" s="60"/>
    </row>
    <row r="292" ht="15.75" hidden="1" customHeight="1">
      <c r="A292" s="53" t="s">
        <v>289</v>
      </c>
      <c r="B292" s="45">
        <v>75256.0</v>
      </c>
      <c r="C292" s="46">
        <v>19500.0</v>
      </c>
      <c r="D292" s="46">
        <v>120.0</v>
      </c>
      <c r="E292" s="45">
        <f>D292*$L$279</f>
        <v>90600</v>
      </c>
      <c r="F292" s="45">
        <v>157200.0</v>
      </c>
      <c r="G292" s="71">
        <f>F292*0.9</f>
        <v>141480</v>
      </c>
      <c r="H292" s="71">
        <f>G292-E292</f>
        <v>50880</v>
      </c>
      <c r="I292" s="109">
        <f>+IF(OR(F292="",E292&lt;(SUM(B292:C292)*(1+$I$279))),H292,"No Cobrar")</f>
        <v>50880</v>
      </c>
    </row>
    <row r="293" ht="15.75" hidden="1" customHeight="1">
      <c r="B293" s="45"/>
      <c r="C293" s="46"/>
      <c r="D293" s="46"/>
      <c r="E293" s="45"/>
      <c r="F293" s="45"/>
      <c r="G293" s="60"/>
      <c r="H293" s="60"/>
      <c r="I293" s="60"/>
    </row>
    <row r="294" ht="15.75" hidden="1" customHeight="1">
      <c r="A294" s="57" t="s">
        <v>290</v>
      </c>
      <c r="B294" s="45"/>
      <c r="C294" s="46"/>
      <c r="D294" s="46"/>
      <c r="E294" s="45"/>
      <c r="F294" s="45"/>
      <c r="G294" s="60"/>
      <c r="H294" s="60"/>
      <c r="I294" s="60"/>
    </row>
    <row r="295" ht="15.75" hidden="1" customHeight="1">
      <c r="A295" s="53" t="s">
        <v>286</v>
      </c>
      <c r="B295" s="45">
        <v>51041.24</v>
      </c>
      <c r="C295" s="46">
        <v>19500.0</v>
      </c>
      <c r="D295" s="46">
        <v>100.0</v>
      </c>
      <c r="E295" s="45">
        <f>D295*$L$279</f>
        <v>75500</v>
      </c>
      <c r="F295" s="45">
        <v>131000.0</v>
      </c>
      <c r="G295" s="71">
        <f>F295*0.9</f>
        <v>117900</v>
      </c>
      <c r="H295" s="71">
        <f>G295-E295</f>
        <v>42400</v>
      </c>
      <c r="I295" s="109">
        <f>+IF(OR(F295="",E295&lt;(SUM(B295:C295)*(1+$I$279))),H295,"No Cobrar")</f>
        <v>42400</v>
      </c>
    </row>
    <row r="296" ht="15.75" hidden="1" customHeight="1">
      <c r="B296" s="45"/>
      <c r="C296" s="46"/>
      <c r="D296" s="46"/>
      <c r="E296" s="45"/>
      <c r="F296" s="45"/>
      <c r="G296" s="60"/>
      <c r="H296" s="60"/>
      <c r="I296" s="60"/>
    </row>
    <row r="297" ht="15.75" hidden="1" customHeight="1">
      <c r="B297" s="45"/>
      <c r="C297" s="46"/>
      <c r="D297" s="46"/>
      <c r="E297" s="45"/>
      <c r="F297" s="45"/>
      <c r="G297" s="60"/>
      <c r="H297" s="60"/>
      <c r="I297" s="60"/>
    </row>
    <row r="298" ht="15.75" hidden="1" customHeight="1">
      <c r="A298" s="132" t="s">
        <v>291</v>
      </c>
      <c r="B298" s="112" t="s">
        <v>112</v>
      </c>
      <c r="C298" s="112">
        <v>715.0</v>
      </c>
      <c r="D298" s="46"/>
      <c r="E298" s="45"/>
      <c r="F298" s="45"/>
      <c r="G298" s="60"/>
      <c r="H298" s="60"/>
      <c r="I298" s="60"/>
    </row>
    <row r="299" ht="15.75" hidden="1" customHeight="1">
      <c r="B299" s="45"/>
      <c r="C299" s="46"/>
      <c r="D299" s="46"/>
      <c r="E299" s="45"/>
      <c r="F299" s="45"/>
      <c r="G299" s="60"/>
      <c r="H299" s="60"/>
      <c r="I299" s="60"/>
    </row>
    <row r="300" ht="15.75" hidden="1" customHeight="1">
      <c r="A300" s="133" t="s">
        <v>292</v>
      </c>
      <c r="B300" s="134" t="s">
        <v>257</v>
      </c>
      <c r="C300" s="69" t="s">
        <v>231</v>
      </c>
      <c r="D300" s="69" t="s">
        <v>109</v>
      </c>
      <c r="E300" s="127" t="s">
        <v>232</v>
      </c>
      <c r="F300" s="127" t="s">
        <v>9</v>
      </c>
      <c r="G300" s="60" t="s">
        <v>233</v>
      </c>
      <c r="H300" s="60"/>
      <c r="I300" s="60"/>
    </row>
    <row r="301" ht="15.75" hidden="1" customHeight="1">
      <c r="A301" s="53" t="s">
        <v>284</v>
      </c>
      <c r="B301" s="45">
        <v>1248434.0</v>
      </c>
      <c r="C301" s="46">
        <v>20000.0</v>
      </c>
      <c r="D301" s="46">
        <v>300.0</v>
      </c>
      <c r="E301" s="45">
        <f>D301*$C$298</f>
        <v>214500</v>
      </c>
      <c r="F301" s="45">
        <v>372000.0</v>
      </c>
      <c r="G301" s="71">
        <f>SUM(B301:C301)*1.35</f>
        <v>1712385.9</v>
      </c>
      <c r="H301" s="71">
        <f>G301-E301</f>
        <v>1497885.9</v>
      </c>
      <c r="I301" s="109">
        <f>IF(AND(OR(F301="",E301&lt;(SUM(B301:C301)*(1+$I$279))),H301&gt;=20000),H301,"No Cobrar")</f>
        <v>1497885.9</v>
      </c>
    </row>
    <row r="302" ht="15.75" hidden="1" customHeight="1">
      <c r="B302" s="45"/>
      <c r="C302" s="46"/>
      <c r="D302" s="46"/>
      <c r="E302" s="45"/>
      <c r="F302" s="45"/>
      <c r="G302" s="60"/>
      <c r="H302" s="60"/>
      <c r="I302" s="60"/>
    </row>
    <row r="303" ht="15.75" hidden="1" customHeight="1">
      <c r="A303" s="135" t="s">
        <v>293</v>
      </c>
      <c r="B303" s="134" t="s">
        <v>257</v>
      </c>
      <c r="C303" s="69" t="s">
        <v>231</v>
      </c>
      <c r="D303" s="69" t="s">
        <v>109</v>
      </c>
      <c r="E303" s="127" t="s">
        <v>232</v>
      </c>
      <c r="F303" s="127" t="s">
        <v>9</v>
      </c>
      <c r="G303" s="60" t="s">
        <v>233</v>
      </c>
      <c r="H303" s="60"/>
      <c r="I303" s="60"/>
    </row>
    <row r="304" ht="15.75" hidden="1" customHeight="1">
      <c r="A304" s="136" t="s">
        <v>294</v>
      </c>
      <c r="B304" s="137">
        <v>62727.0</v>
      </c>
      <c r="C304" s="46">
        <v>20000.0</v>
      </c>
      <c r="D304" s="138">
        <v>0.0</v>
      </c>
      <c r="E304" s="45">
        <f>D304*$C$298</f>
        <v>0</v>
      </c>
      <c r="F304" s="137">
        <v>0.0</v>
      </c>
      <c r="G304" s="71">
        <f>SUM(B304:C304)*1.35</f>
        <v>111681.45</v>
      </c>
      <c r="H304" s="71">
        <f>G304-E304</f>
        <v>111681.45</v>
      </c>
      <c r="I304" s="109">
        <f>IF(AND(OR(F304="",E304&lt;(SUM(B304:C304)*(1+$I$279))),H304&gt;=20000),H304,"No Cobrar")</f>
        <v>111681.45</v>
      </c>
    </row>
    <row r="305" ht="15.75" hidden="1" customHeight="1">
      <c r="B305" s="45"/>
      <c r="C305" s="46"/>
      <c r="D305" s="46"/>
      <c r="E305" s="45"/>
      <c r="F305" s="45"/>
      <c r="G305" s="60"/>
      <c r="H305" s="60"/>
      <c r="I305" s="60"/>
    </row>
    <row r="306" ht="15.75" hidden="1" customHeight="1">
      <c r="A306" s="139" t="s">
        <v>295</v>
      </c>
      <c r="B306" s="134" t="s">
        <v>257</v>
      </c>
      <c r="C306" s="69" t="s">
        <v>231</v>
      </c>
      <c r="D306" s="69" t="s">
        <v>109</v>
      </c>
      <c r="E306" s="127" t="s">
        <v>232</v>
      </c>
      <c r="F306" s="127" t="s">
        <v>9</v>
      </c>
      <c r="G306" s="60" t="s">
        <v>233</v>
      </c>
      <c r="H306" s="60"/>
      <c r="I306" s="60"/>
    </row>
    <row r="307" ht="15.75" hidden="1" customHeight="1">
      <c r="A307" s="136" t="s">
        <v>296</v>
      </c>
      <c r="B307" s="137">
        <v>306719.77</v>
      </c>
      <c r="C307" s="46">
        <v>20000.0</v>
      </c>
      <c r="D307" s="138">
        <v>300.0</v>
      </c>
      <c r="E307" s="45">
        <f t="shared" ref="E307:E312" si="54">D307*$C$298</f>
        <v>214500</v>
      </c>
      <c r="F307" s="137">
        <v>393000.0</v>
      </c>
      <c r="G307" s="71">
        <f t="shared" ref="G307:G312" si="55">SUM(B307:C307)*1.35</f>
        <v>441071.6895</v>
      </c>
      <c r="H307" s="71">
        <f t="shared" ref="H307:H312" si="56">G307-E307</f>
        <v>226571.6895</v>
      </c>
      <c r="I307" s="109">
        <f t="shared" ref="I307:I312" si="57">IF(AND(OR(F307="",E307&lt;(SUM(B307:C307)*(1+$I$279))),H307&gt;=20000),H307,"No Cobrar")</f>
        <v>226571.6895</v>
      </c>
    </row>
    <row r="308" ht="15.75" hidden="1" customHeight="1">
      <c r="A308" s="136" t="s">
        <v>297</v>
      </c>
      <c r="B308" s="137">
        <v>62727.0</v>
      </c>
      <c r="C308" s="46">
        <v>20000.0</v>
      </c>
      <c r="D308" s="138">
        <v>0.0</v>
      </c>
      <c r="E308" s="45">
        <f t="shared" si="54"/>
        <v>0</v>
      </c>
      <c r="F308" s="137">
        <v>0.0</v>
      </c>
      <c r="G308" s="71">
        <f t="shared" si="55"/>
        <v>111681.45</v>
      </c>
      <c r="H308" s="71">
        <f t="shared" si="56"/>
        <v>111681.45</v>
      </c>
      <c r="I308" s="109">
        <f t="shared" si="57"/>
        <v>111681.45</v>
      </c>
    </row>
    <row r="309" ht="15.75" hidden="1" customHeight="1">
      <c r="A309" s="136" t="s">
        <v>298</v>
      </c>
      <c r="B309" s="137">
        <v>84357.0</v>
      </c>
      <c r="C309" s="46">
        <v>20000.0</v>
      </c>
      <c r="D309" s="138">
        <v>140.0</v>
      </c>
      <c r="E309" s="45">
        <f t="shared" si="54"/>
        <v>100100</v>
      </c>
      <c r="F309" s="137">
        <v>183400.0</v>
      </c>
      <c r="G309" s="71">
        <f t="shared" si="55"/>
        <v>140881.95</v>
      </c>
      <c r="H309" s="71">
        <f t="shared" si="56"/>
        <v>40781.95</v>
      </c>
      <c r="I309" s="109">
        <f t="shared" si="57"/>
        <v>40781.95</v>
      </c>
    </row>
    <row r="310" ht="15.75" hidden="1" customHeight="1">
      <c r="A310" s="136" t="s">
        <v>299</v>
      </c>
      <c r="B310" s="137">
        <v>194670.0</v>
      </c>
      <c r="C310" s="46">
        <v>20000.0</v>
      </c>
      <c r="D310" s="138">
        <v>0.0</v>
      </c>
      <c r="E310" s="45">
        <f t="shared" si="54"/>
        <v>0</v>
      </c>
      <c r="F310" s="137">
        <v>0.0</v>
      </c>
      <c r="G310" s="71">
        <f t="shared" si="55"/>
        <v>289804.5</v>
      </c>
      <c r="H310" s="71">
        <f t="shared" si="56"/>
        <v>289804.5</v>
      </c>
      <c r="I310" s="109">
        <f t="shared" si="57"/>
        <v>289804.5</v>
      </c>
    </row>
    <row r="311" ht="15.75" hidden="1" customHeight="1">
      <c r="A311" s="136" t="s">
        <v>300</v>
      </c>
      <c r="B311" s="137">
        <v>463536.87</v>
      </c>
      <c r="C311" s="46">
        <v>20000.0</v>
      </c>
      <c r="D311" s="138">
        <v>0.0</v>
      </c>
      <c r="E311" s="45">
        <f t="shared" si="54"/>
        <v>0</v>
      </c>
      <c r="F311" s="137">
        <v>0.0</v>
      </c>
      <c r="G311" s="71">
        <f t="shared" si="55"/>
        <v>652774.7745</v>
      </c>
      <c r="H311" s="71">
        <f t="shared" si="56"/>
        <v>652774.7745</v>
      </c>
      <c r="I311" s="109">
        <f t="shared" si="57"/>
        <v>652774.7745</v>
      </c>
    </row>
    <row r="312" ht="15.75" hidden="1" customHeight="1">
      <c r="A312" s="136" t="s">
        <v>301</v>
      </c>
      <c r="B312" s="137">
        <v>1248434.0</v>
      </c>
      <c r="C312" s="46">
        <v>20000.0</v>
      </c>
      <c r="D312" s="138">
        <v>300.0</v>
      </c>
      <c r="E312" s="45">
        <f t="shared" si="54"/>
        <v>214500</v>
      </c>
      <c r="F312" s="137">
        <v>372000.0</v>
      </c>
      <c r="G312" s="71">
        <f t="shared" si="55"/>
        <v>1712385.9</v>
      </c>
      <c r="H312" s="71">
        <f t="shared" si="56"/>
        <v>1497885.9</v>
      </c>
      <c r="I312" s="109">
        <f t="shared" si="57"/>
        <v>1497885.9</v>
      </c>
    </row>
    <row r="313" ht="15.75" hidden="1" customHeight="1">
      <c r="A313" s="136"/>
      <c r="B313" s="137"/>
      <c r="C313" s="46"/>
      <c r="D313" s="138"/>
      <c r="E313" s="45"/>
      <c r="F313" s="137"/>
      <c r="G313" s="71"/>
      <c r="H313" s="71"/>
      <c r="I313" s="109"/>
    </row>
    <row r="314" ht="15.75" hidden="1" customHeight="1">
      <c r="A314" s="139" t="s">
        <v>302</v>
      </c>
      <c r="B314" s="134" t="s">
        <v>257</v>
      </c>
      <c r="C314" s="69" t="s">
        <v>231</v>
      </c>
      <c r="D314" s="69" t="s">
        <v>109</v>
      </c>
      <c r="E314" s="127" t="s">
        <v>232</v>
      </c>
      <c r="F314" s="127" t="s">
        <v>9</v>
      </c>
      <c r="G314" s="60" t="s">
        <v>233</v>
      </c>
      <c r="H314" s="60"/>
      <c r="I314" s="60"/>
    </row>
    <row r="315" ht="15.75" hidden="1" customHeight="1">
      <c r="A315" s="140" t="s">
        <v>303</v>
      </c>
      <c r="B315" s="137">
        <v>274895.05</v>
      </c>
      <c r="C315" s="46">
        <v>20000.0</v>
      </c>
      <c r="D315" s="138">
        <v>0.0</v>
      </c>
      <c r="E315" s="45">
        <f>D315*$C$298</f>
        <v>0</v>
      </c>
      <c r="F315" s="137">
        <v>0.0</v>
      </c>
      <c r="G315" s="71">
        <f>SUM(B315:C315)*1.35</f>
        <v>398108.3175</v>
      </c>
      <c r="H315" s="71">
        <f>G315-E315</f>
        <v>398108.3175</v>
      </c>
      <c r="I315" s="109">
        <f>IF(AND(OR(F315="",E315&lt;(SUM(B315:C315)*(1+$I$279))),H315&gt;=20000),H315,"No Cobrar")</f>
        <v>398108.3175</v>
      </c>
    </row>
    <row r="316" ht="15.75" hidden="1" customHeight="1">
      <c r="B316" s="45"/>
      <c r="C316" s="46"/>
      <c r="D316" s="46"/>
      <c r="E316" s="45"/>
      <c r="F316" s="45"/>
      <c r="G316" s="60"/>
      <c r="H316" s="60"/>
      <c r="I316" s="60"/>
    </row>
    <row r="317" ht="15.75" hidden="1" customHeight="1">
      <c r="A317" s="135" t="s">
        <v>304</v>
      </c>
      <c r="B317" s="134" t="s">
        <v>257</v>
      </c>
      <c r="C317" s="69" t="s">
        <v>231</v>
      </c>
      <c r="D317" s="69" t="s">
        <v>109</v>
      </c>
      <c r="E317" s="127" t="s">
        <v>232</v>
      </c>
      <c r="F317" s="127" t="s">
        <v>9</v>
      </c>
      <c r="G317" s="60" t="s">
        <v>233</v>
      </c>
      <c r="H317" s="60"/>
      <c r="I317" s="60"/>
    </row>
    <row r="318" ht="15.75" hidden="1" customHeight="1">
      <c r="A318" s="136" t="s">
        <v>305</v>
      </c>
      <c r="B318" s="137">
        <v>36943.0</v>
      </c>
      <c r="C318" s="46">
        <v>20000.0</v>
      </c>
      <c r="D318" s="138">
        <v>40.0</v>
      </c>
      <c r="E318" s="45">
        <f>D318*$C$298</f>
        <v>28600</v>
      </c>
      <c r="F318" s="137">
        <v>52400.0</v>
      </c>
      <c r="G318" s="71">
        <f>SUM(B318:C318)*1.35</f>
        <v>76873.05</v>
      </c>
      <c r="H318" s="71">
        <f>G318-E318</f>
        <v>48273.05</v>
      </c>
      <c r="I318" s="109">
        <f>IF(AND(OR(F318="",E318&lt;(SUM(B318:C318)*(1+$I$279))),H318&gt;=20000),H318,"No Cobrar")</f>
        <v>48273.05</v>
      </c>
    </row>
    <row r="319" ht="15.75" hidden="1" customHeight="1">
      <c r="B319" s="45"/>
      <c r="C319" s="46"/>
      <c r="D319" s="46"/>
      <c r="E319" s="45"/>
      <c r="F319" s="45"/>
      <c r="G319" s="60"/>
      <c r="H319" s="60"/>
      <c r="I319" s="60"/>
    </row>
    <row r="320" ht="15.75" hidden="1" customHeight="1">
      <c r="A320" s="135" t="s">
        <v>306</v>
      </c>
      <c r="B320" s="134" t="s">
        <v>257</v>
      </c>
      <c r="C320" s="69" t="s">
        <v>231</v>
      </c>
      <c r="D320" s="69" t="s">
        <v>109</v>
      </c>
      <c r="E320" s="127" t="s">
        <v>232</v>
      </c>
      <c r="F320" s="127" t="s">
        <v>9</v>
      </c>
      <c r="G320" s="60" t="s">
        <v>233</v>
      </c>
      <c r="H320" s="60"/>
      <c r="I320" s="60"/>
    </row>
    <row r="321" ht="15.75" hidden="1" customHeight="1">
      <c r="A321" s="136" t="s">
        <v>307</v>
      </c>
      <c r="B321" s="137">
        <v>46837.0</v>
      </c>
      <c r="C321" s="46">
        <v>20000.0</v>
      </c>
      <c r="D321" s="138">
        <v>50.0</v>
      </c>
      <c r="E321" s="45">
        <f t="shared" ref="E321:E322" si="58">D321*$C$298</f>
        <v>35750</v>
      </c>
      <c r="F321" s="137">
        <v>65500.0</v>
      </c>
      <c r="G321" s="71">
        <f t="shared" ref="G321:G322" si="59">SUM(B321:C321)*1.35</f>
        <v>90229.95</v>
      </c>
      <c r="H321" s="71">
        <f t="shared" ref="H321:H322" si="60">G321-E321</f>
        <v>54479.95</v>
      </c>
      <c r="I321" s="109">
        <f t="shared" ref="I321:I322" si="61">IF(AND(OR(F321="",E321&lt;(SUM(B321:C321)*(1+$I$279))),H321&gt;=20000),H321,"No Cobrar")</f>
        <v>54479.95</v>
      </c>
    </row>
    <row r="322" ht="15.75" hidden="1" customHeight="1">
      <c r="A322" s="140" t="s">
        <v>308</v>
      </c>
      <c r="B322" s="137">
        <v>50068.0</v>
      </c>
      <c r="C322" s="46">
        <v>20000.0</v>
      </c>
      <c r="D322" s="138">
        <v>50.0</v>
      </c>
      <c r="E322" s="45">
        <f t="shared" si="58"/>
        <v>35750</v>
      </c>
      <c r="F322" s="137">
        <v>65500.0</v>
      </c>
      <c r="G322" s="71">
        <f t="shared" si="59"/>
        <v>94591.8</v>
      </c>
      <c r="H322" s="71">
        <f t="shared" si="60"/>
        <v>58841.8</v>
      </c>
      <c r="I322" s="109">
        <f t="shared" si="61"/>
        <v>58841.8</v>
      </c>
    </row>
    <row r="323" ht="15.75" hidden="1" customHeight="1">
      <c r="B323" s="45"/>
      <c r="C323" s="46"/>
      <c r="D323" s="46"/>
      <c r="E323" s="45"/>
      <c r="F323" s="45"/>
      <c r="G323" s="60"/>
      <c r="H323" s="60"/>
      <c r="I323" s="60"/>
    </row>
    <row r="324" ht="15.75" hidden="1" customHeight="1">
      <c r="A324" s="135" t="s">
        <v>309</v>
      </c>
      <c r="B324" s="134" t="s">
        <v>257</v>
      </c>
      <c r="C324" s="69" t="s">
        <v>231</v>
      </c>
      <c r="D324" s="69" t="s">
        <v>109</v>
      </c>
      <c r="E324" s="127" t="s">
        <v>232</v>
      </c>
      <c r="F324" s="127" t="s">
        <v>9</v>
      </c>
      <c r="G324" s="60" t="s">
        <v>233</v>
      </c>
      <c r="H324" s="60"/>
      <c r="I324" s="60"/>
    </row>
    <row r="325" ht="15.75" hidden="1" customHeight="1">
      <c r="A325" s="136" t="s">
        <v>301</v>
      </c>
      <c r="B325" s="137">
        <v>1248434.0</v>
      </c>
      <c r="C325" s="46">
        <v>20000.0</v>
      </c>
      <c r="D325" s="138">
        <v>300.0</v>
      </c>
      <c r="E325" s="45">
        <f t="shared" ref="E325:E326" si="62">D325*$C$298</f>
        <v>214500</v>
      </c>
      <c r="F325" s="137">
        <v>372000.0</v>
      </c>
      <c r="G325" s="71">
        <f t="shared" ref="G325:G326" si="63">SUM(B325:C325)*1.35</f>
        <v>1712385.9</v>
      </c>
      <c r="H325" s="71">
        <f t="shared" ref="H325:H326" si="64">G325-E325</f>
        <v>1497885.9</v>
      </c>
      <c r="I325" s="109">
        <f t="shared" ref="I325:I326" si="65">IF(AND(OR(F325="",E325&lt;(SUM(B325:C325)*(1+$I$279))),H325&gt;=20000),H325,"No Cobrar")</f>
        <v>1497885.9</v>
      </c>
    </row>
    <row r="326" ht="15.75" hidden="1" customHeight="1">
      <c r="A326" s="140" t="s">
        <v>310</v>
      </c>
      <c r="B326" s="137">
        <v>306719.77</v>
      </c>
      <c r="C326" s="46">
        <v>20000.0</v>
      </c>
      <c r="D326" s="138">
        <v>300.0</v>
      </c>
      <c r="E326" s="45">
        <f t="shared" si="62"/>
        <v>214500</v>
      </c>
      <c r="F326" s="137">
        <v>393000.0</v>
      </c>
      <c r="G326" s="71">
        <f t="shared" si="63"/>
        <v>441071.6895</v>
      </c>
      <c r="H326" s="71">
        <f t="shared" si="64"/>
        <v>226571.6895</v>
      </c>
      <c r="I326" s="109">
        <f t="shared" si="65"/>
        <v>226571.6895</v>
      </c>
    </row>
    <row r="327" ht="15.75" hidden="1" customHeight="1">
      <c r="B327" s="45"/>
      <c r="C327" s="46"/>
      <c r="D327" s="46"/>
      <c r="E327" s="45"/>
      <c r="F327" s="45"/>
      <c r="G327" s="60"/>
      <c r="H327" s="60"/>
      <c r="I327" s="60"/>
    </row>
    <row r="328" ht="15.75" hidden="1" customHeight="1">
      <c r="A328" s="135" t="s">
        <v>311</v>
      </c>
      <c r="B328" s="134" t="s">
        <v>257</v>
      </c>
      <c r="C328" s="69" t="s">
        <v>231</v>
      </c>
      <c r="D328" s="69" t="s">
        <v>109</v>
      </c>
      <c r="E328" s="127" t="s">
        <v>232</v>
      </c>
      <c r="F328" s="127" t="s">
        <v>9</v>
      </c>
      <c r="G328" s="60" t="s">
        <v>233</v>
      </c>
      <c r="H328" s="60"/>
      <c r="I328" s="60"/>
    </row>
    <row r="329" ht="15.75" hidden="1" customHeight="1">
      <c r="A329" s="136" t="s">
        <v>312</v>
      </c>
      <c r="B329" s="137">
        <v>75256.0</v>
      </c>
      <c r="C329" s="46">
        <v>20000.0</v>
      </c>
      <c r="D329" s="138">
        <v>120.0</v>
      </c>
      <c r="E329" s="45">
        <f>D329*$C$298</f>
        <v>85800</v>
      </c>
      <c r="F329" s="137">
        <v>157200.0</v>
      </c>
      <c r="G329" s="71">
        <f>SUM(B329:C329)*1.35</f>
        <v>128595.6</v>
      </c>
      <c r="H329" s="71">
        <f>G329-E329</f>
        <v>42795.6</v>
      </c>
      <c r="I329" s="109">
        <f>IF(AND(OR(F329="",E329&lt;(SUM(B329:C329)*(1+$I$279))),H329&gt;=20000),H329,"No Cobrar")</f>
        <v>42795.6</v>
      </c>
    </row>
    <row r="330" ht="15.75" hidden="1" customHeight="1">
      <c r="B330" s="45"/>
      <c r="C330" s="46"/>
      <c r="D330" s="46"/>
      <c r="E330" s="45"/>
      <c r="F330" s="45"/>
      <c r="G330" s="60"/>
      <c r="H330" s="60"/>
      <c r="I330" s="60"/>
    </row>
    <row r="331" ht="15.75" hidden="1" customHeight="1">
      <c r="A331" s="135" t="s">
        <v>313</v>
      </c>
      <c r="B331" s="134" t="s">
        <v>257</v>
      </c>
      <c r="C331" s="69" t="s">
        <v>231</v>
      </c>
      <c r="D331" s="69" t="s">
        <v>109</v>
      </c>
      <c r="E331" s="127" t="s">
        <v>232</v>
      </c>
      <c r="F331" s="127" t="s">
        <v>9</v>
      </c>
      <c r="G331" s="60" t="s">
        <v>233</v>
      </c>
      <c r="H331" s="60"/>
      <c r="I331" s="60"/>
    </row>
    <row r="332" ht="15.75" hidden="1" customHeight="1">
      <c r="A332" s="136" t="s">
        <v>314</v>
      </c>
      <c r="B332" s="137">
        <v>20000.0</v>
      </c>
      <c r="C332" s="46">
        <v>20000.0</v>
      </c>
      <c r="D332" s="138">
        <v>47.0</v>
      </c>
      <c r="E332" s="45">
        <f>D332*$C$298</f>
        <v>33605</v>
      </c>
      <c r="F332" s="137">
        <v>121000.0</v>
      </c>
      <c r="G332" s="71">
        <f>F332*0.95</f>
        <v>114950</v>
      </c>
      <c r="H332" s="71">
        <f>G332-E332</f>
        <v>81345</v>
      </c>
      <c r="I332" s="109">
        <f>IF(AND(OR(F332="",E332&lt;(SUM(B332:C332)*(1+$I$279))),H332&gt;=20000),H332,"No Cobrar")</f>
        <v>81345</v>
      </c>
    </row>
    <row r="333" ht="15.75" hidden="1" customHeight="1">
      <c r="B333" s="45"/>
      <c r="C333" s="46"/>
      <c r="D333" s="46"/>
      <c r="E333" s="45"/>
      <c r="F333" s="45"/>
      <c r="G333" s="60"/>
      <c r="H333" s="60"/>
      <c r="I333" s="60"/>
    </row>
    <row r="334" ht="15.75" hidden="1" customHeight="1">
      <c r="A334" s="135" t="s">
        <v>315</v>
      </c>
      <c r="B334" s="134" t="s">
        <v>257</v>
      </c>
      <c r="C334" s="69" t="s">
        <v>231</v>
      </c>
      <c r="D334" s="69" t="s">
        <v>109</v>
      </c>
      <c r="E334" s="127" t="s">
        <v>232</v>
      </c>
      <c r="F334" s="127" t="s">
        <v>9</v>
      </c>
      <c r="G334" s="60" t="s">
        <v>233</v>
      </c>
      <c r="H334" s="60"/>
      <c r="I334" s="60"/>
    </row>
    <row r="335" ht="15.75" hidden="1" customHeight="1">
      <c r="A335" s="136" t="s">
        <v>314</v>
      </c>
      <c r="B335" s="137">
        <v>20000.0</v>
      </c>
      <c r="C335" s="46">
        <v>20000.0</v>
      </c>
      <c r="D335" s="138">
        <v>47.0</v>
      </c>
      <c r="E335" s="45">
        <f>D335*$C$298</f>
        <v>33605</v>
      </c>
      <c r="F335" s="137">
        <v>121000.0</v>
      </c>
      <c r="G335" s="71">
        <f>F335*0.95</f>
        <v>114950</v>
      </c>
      <c r="H335" s="71">
        <f>G335-E335</f>
        <v>81345</v>
      </c>
      <c r="I335" s="109">
        <f>IF(AND(OR(F335="",E335&lt;(SUM(B335:C335)*(1+$I$279))),H335&gt;=20000),H335,"No Cobrar")</f>
        <v>81345</v>
      </c>
    </row>
    <row r="336" ht="15.75" hidden="1" customHeight="1">
      <c r="B336" s="45"/>
      <c r="C336" s="46"/>
      <c r="D336" s="46"/>
      <c r="E336" s="45"/>
      <c r="F336" s="45"/>
      <c r="G336" s="60"/>
      <c r="H336" s="60"/>
      <c r="I336" s="60"/>
    </row>
    <row r="337" ht="15.75" hidden="1" customHeight="1">
      <c r="B337" s="45"/>
      <c r="C337" s="46"/>
      <c r="D337" s="46"/>
      <c r="E337" s="45"/>
      <c r="F337" s="45"/>
      <c r="G337" s="60"/>
      <c r="H337" s="60"/>
      <c r="I337" s="60"/>
    </row>
    <row r="338" ht="15.75" hidden="1" customHeight="1">
      <c r="A338" s="141" t="s">
        <v>179</v>
      </c>
      <c r="B338" s="107" t="s">
        <v>112</v>
      </c>
      <c r="C338" s="142">
        <v>600.0</v>
      </c>
      <c r="D338" s="46"/>
      <c r="E338" s="45"/>
      <c r="F338" s="45"/>
      <c r="G338" s="60"/>
      <c r="H338" s="60"/>
      <c r="I338" s="60"/>
    </row>
    <row r="339" ht="15.75" hidden="1" customHeight="1">
      <c r="A339" s="135" t="s">
        <v>316</v>
      </c>
      <c r="B339" s="143" t="s">
        <v>257</v>
      </c>
      <c r="C339" s="144" t="s">
        <v>317</v>
      </c>
      <c r="D339" s="145" t="s">
        <v>109</v>
      </c>
      <c r="E339" s="127" t="s">
        <v>232</v>
      </c>
      <c r="F339" s="146" t="s">
        <v>9</v>
      </c>
      <c r="G339" s="60" t="s">
        <v>233</v>
      </c>
      <c r="H339" s="60"/>
      <c r="I339" s="60"/>
    </row>
    <row r="340" ht="15.75" hidden="1" customHeight="1">
      <c r="A340" s="136" t="s">
        <v>318</v>
      </c>
      <c r="B340" s="137">
        <v>30662.92</v>
      </c>
      <c r="C340" s="138">
        <v>2000.0</v>
      </c>
      <c r="D340" s="138">
        <v>39.0</v>
      </c>
      <c r="E340" s="45">
        <f>D340*$C$338</f>
        <v>23400</v>
      </c>
      <c r="F340" s="137">
        <v>51090.0</v>
      </c>
      <c r="G340" s="71">
        <f>SUM(B340:C340)*1.35</f>
        <v>44094.942</v>
      </c>
      <c r="H340" s="71">
        <f>G340-E340</f>
        <v>20694.942</v>
      </c>
      <c r="I340" s="109">
        <f>IF(AND(OR(F340="",E340&lt;(SUM(B340:C340)*(1+$I$279))),H340&gt;=20000),H340,"No Cobrar")</f>
        <v>20694.942</v>
      </c>
    </row>
    <row r="341" ht="15.75" hidden="1" customHeight="1">
      <c r="B341" s="45"/>
      <c r="C341" s="46"/>
      <c r="D341" s="46"/>
      <c r="E341" s="45"/>
      <c r="F341" s="45"/>
      <c r="G341" s="60"/>
      <c r="H341" s="60"/>
      <c r="I341" s="60"/>
    </row>
    <row r="342" ht="15.75" hidden="1" customHeight="1">
      <c r="A342" s="135" t="s">
        <v>319</v>
      </c>
      <c r="B342" s="143" t="s">
        <v>257</v>
      </c>
      <c r="C342" s="144" t="s">
        <v>317</v>
      </c>
      <c r="D342" s="145" t="s">
        <v>109</v>
      </c>
      <c r="E342" s="127" t="s">
        <v>232</v>
      </c>
      <c r="F342" s="146" t="s">
        <v>9</v>
      </c>
      <c r="G342" s="60" t="s">
        <v>233</v>
      </c>
      <c r="H342" s="60"/>
      <c r="I342" s="60"/>
    </row>
    <row r="343" ht="15.75" hidden="1" customHeight="1">
      <c r="A343" s="136" t="s">
        <v>320</v>
      </c>
      <c r="B343" s="137">
        <v>113898.0</v>
      </c>
      <c r="C343" s="138">
        <v>2000.0</v>
      </c>
      <c r="D343" s="138">
        <v>140.0</v>
      </c>
      <c r="E343" s="45">
        <f t="shared" ref="E343:E349" si="66">D343*$C$338</f>
        <v>84000</v>
      </c>
      <c r="F343" s="137">
        <v>183400.0</v>
      </c>
      <c r="G343" s="71">
        <f t="shared" ref="G343:G349" si="67">SUM(B343:C343)*1.35</f>
        <v>156462.3</v>
      </c>
      <c r="H343" s="71">
        <f t="shared" ref="H343:H349" si="68">G343-E343</f>
        <v>72462.3</v>
      </c>
      <c r="I343" s="109">
        <f t="shared" ref="I343:I349" si="69">IF(AND(OR(F343="",E343&lt;(SUM(B343:C343)*(1+$I$279))),H343&gt;=20000),H343,"No Cobrar")</f>
        <v>72462.3</v>
      </c>
    </row>
    <row r="344" ht="15.75" hidden="1" customHeight="1">
      <c r="A344" s="140" t="s">
        <v>321</v>
      </c>
      <c r="B344" s="137">
        <v>512208.24</v>
      </c>
      <c r="C344" s="138">
        <v>2000.0</v>
      </c>
      <c r="D344" s="138"/>
      <c r="E344" s="45">
        <f t="shared" si="66"/>
        <v>0</v>
      </c>
      <c r="F344" s="137"/>
      <c r="G344" s="71">
        <f t="shared" si="67"/>
        <v>694181.124</v>
      </c>
      <c r="H344" s="71">
        <f t="shared" si="68"/>
        <v>694181.124</v>
      </c>
      <c r="I344" s="109">
        <f t="shared" si="69"/>
        <v>694181.124</v>
      </c>
    </row>
    <row r="345" ht="15.75" hidden="1" customHeight="1">
      <c r="A345" s="140" t="s">
        <v>322</v>
      </c>
      <c r="B345" s="137">
        <v>257898.0</v>
      </c>
      <c r="C345" s="138">
        <v>2000.0</v>
      </c>
      <c r="D345" s="138"/>
      <c r="E345" s="45">
        <f t="shared" si="66"/>
        <v>0</v>
      </c>
      <c r="F345" s="137"/>
      <c r="G345" s="71">
        <f t="shared" si="67"/>
        <v>350862.3</v>
      </c>
      <c r="H345" s="71">
        <f t="shared" si="68"/>
        <v>350862.3</v>
      </c>
      <c r="I345" s="109">
        <f t="shared" si="69"/>
        <v>350862.3</v>
      </c>
    </row>
    <row r="346" ht="15.75" hidden="1" customHeight="1">
      <c r="A346" s="140" t="s">
        <v>323</v>
      </c>
      <c r="B346" s="137">
        <v>257898.0</v>
      </c>
      <c r="C346" s="138">
        <v>2000.0</v>
      </c>
      <c r="D346" s="138"/>
      <c r="E346" s="45">
        <f t="shared" si="66"/>
        <v>0</v>
      </c>
      <c r="F346" s="137"/>
      <c r="G346" s="71">
        <f t="shared" si="67"/>
        <v>350862.3</v>
      </c>
      <c r="H346" s="71">
        <f t="shared" si="68"/>
        <v>350862.3</v>
      </c>
      <c r="I346" s="109">
        <f t="shared" si="69"/>
        <v>350862.3</v>
      </c>
    </row>
    <row r="347" ht="15.75" hidden="1" customHeight="1">
      <c r="A347" s="140" t="s">
        <v>324</v>
      </c>
      <c r="B347" s="137">
        <v>338925.35</v>
      </c>
      <c r="C347" s="138">
        <v>2000.0</v>
      </c>
      <c r="D347" s="138">
        <v>300.0</v>
      </c>
      <c r="E347" s="45">
        <f t="shared" si="66"/>
        <v>180000</v>
      </c>
      <c r="F347" s="137">
        <v>393000.0</v>
      </c>
      <c r="G347" s="71">
        <f t="shared" si="67"/>
        <v>460249.2225</v>
      </c>
      <c r="H347" s="71">
        <f t="shared" si="68"/>
        <v>280249.2225</v>
      </c>
      <c r="I347" s="109">
        <f t="shared" si="69"/>
        <v>280249.2225</v>
      </c>
    </row>
    <row r="348" ht="15.75" hidden="1" customHeight="1">
      <c r="A348" s="140" t="s">
        <v>325</v>
      </c>
      <c r="B348" s="137">
        <v>338925.35</v>
      </c>
      <c r="C348" s="138">
        <v>2000.0</v>
      </c>
      <c r="D348" s="138">
        <v>300.0</v>
      </c>
      <c r="E348" s="45">
        <f t="shared" si="66"/>
        <v>180000</v>
      </c>
      <c r="F348" s="137">
        <v>393000.0</v>
      </c>
      <c r="G348" s="71">
        <f t="shared" si="67"/>
        <v>460249.2225</v>
      </c>
      <c r="H348" s="71">
        <f t="shared" si="68"/>
        <v>280249.2225</v>
      </c>
      <c r="I348" s="109">
        <f t="shared" si="69"/>
        <v>280249.2225</v>
      </c>
    </row>
    <row r="349" ht="15.75" hidden="1" customHeight="1">
      <c r="A349" s="140" t="s">
        <v>326</v>
      </c>
      <c r="B349" s="137">
        <v>202117.08</v>
      </c>
      <c r="C349" s="138">
        <v>2000.0</v>
      </c>
      <c r="D349" s="138"/>
      <c r="E349" s="45">
        <f t="shared" si="66"/>
        <v>0</v>
      </c>
      <c r="F349" s="137"/>
      <c r="G349" s="71">
        <f t="shared" si="67"/>
        <v>275558.058</v>
      </c>
      <c r="H349" s="71">
        <f t="shared" si="68"/>
        <v>275558.058</v>
      </c>
      <c r="I349" s="109">
        <f t="shared" si="69"/>
        <v>275558.058</v>
      </c>
    </row>
    <row r="350" ht="15.75" hidden="1" customHeight="1">
      <c r="B350" s="45"/>
      <c r="C350" s="46"/>
      <c r="D350" s="46"/>
      <c r="E350" s="45"/>
      <c r="F350" s="45"/>
      <c r="G350" s="60"/>
      <c r="H350" s="60"/>
      <c r="I350" s="60"/>
    </row>
    <row r="351" ht="15.75" hidden="1" customHeight="1">
      <c r="A351" s="135" t="s">
        <v>327</v>
      </c>
      <c r="B351" s="143" t="s">
        <v>257</v>
      </c>
      <c r="C351" s="144" t="s">
        <v>317</v>
      </c>
      <c r="D351" s="145" t="s">
        <v>109</v>
      </c>
      <c r="E351" s="127" t="s">
        <v>232</v>
      </c>
      <c r="F351" s="146" t="s">
        <v>9</v>
      </c>
      <c r="G351" s="60" t="s">
        <v>233</v>
      </c>
      <c r="H351" s="60"/>
      <c r="I351" s="60"/>
    </row>
    <row r="352" ht="15.75" hidden="1" customHeight="1">
      <c r="A352" s="136" t="s">
        <v>328</v>
      </c>
      <c r="B352" s="137">
        <v>25610.04</v>
      </c>
      <c r="C352" s="138">
        <v>2000.0</v>
      </c>
      <c r="D352" s="138">
        <v>15.0</v>
      </c>
      <c r="E352" s="45">
        <f>D352*$C$338</f>
        <v>9000</v>
      </c>
      <c r="F352" s="137">
        <v>19650.0</v>
      </c>
      <c r="G352" s="71">
        <f>SUM(B352:C352)*1.35</f>
        <v>37273.554</v>
      </c>
      <c r="H352" s="71">
        <f>G352-E352</f>
        <v>28273.554</v>
      </c>
      <c r="I352" s="109">
        <f>IF(AND(OR(F352="",E352&lt;(SUM(B352:C352)*(1+$I$279))),H352&gt;=20000),H352,"No Cobrar")</f>
        <v>28273.554</v>
      </c>
    </row>
    <row r="353" ht="15.75" hidden="1" customHeight="1">
      <c r="B353" s="45"/>
      <c r="C353" s="46"/>
      <c r="D353" s="46"/>
      <c r="E353" s="45"/>
      <c r="F353" s="45"/>
      <c r="G353" s="60"/>
      <c r="H353" s="60"/>
      <c r="I353" s="60"/>
    </row>
    <row r="354" ht="15.75" hidden="1" customHeight="1">
      <c r="A354" s="135" t="s">
        <v>329</v>
      </c>
      <c r="B354" s="143" t="s">
        <v>257</v>
      </c>
      <c r="C354" s="144" t="s">
        <v>317</v>
      </c>
      <c r="D354" s="145" t="s">
        <v>109</v>
      </c>
      <c r="E354" s="127" t="s">
        <v>232</v>
      </c>
      <c r="F354" s="146" t="s">
        <v>9</v>
      </c>
      <c r="G354" s="60" t="s">
        <v>233</v>
      </c>
      <c r="H354" s="60"/>
      <c r="I354" s="60"/>
    </row>
    <row r="355" ht="15.75" hidden="1" customHeight="1">
      <c r="A355" s="136" t="s">
        <v>330</v>
      </c>
      <c r="B355" s="137">
        <v>46811.0</v>
      </c>
      <c r="C355" s="138">
        <v>2000.0</v>
      </c>
      <c r="D355" s="138">
        <v>42.0</v>
      </c>
      <c r="E355" s="45">
        <f>D355*$C$338</f>
        <v>25200</v>
      </c>
      <c r="F355" s="137">
        <v>55020.0</v>
      </c>
      <c r="G355" s="71">
        <f>SUM(B355:C355)*1.35</f>
        <v>65894.85</v>
      </c>
      <c r="H355" s="71">
        <f>G355-E355</f>
        <v>40694.85</v>
      </c>
      <c r="I355" s="109">
        <f>IF(AND(OR(F355="",E355&lt;(SUM(B355:C355)*(1+$I$279))),H355&gt;=20000),H355,"No Cobrar")</f>
        <v>40694.85</v>
      </c>
    </row>
    <row r="356" ht="15.75" hidden="1" customHeight="1">
      <c r="B356" s="45"/>
      <c r="C356" s="46"/>
      <c r="D356" s="46"/>
      <c r="E356" s="45"/>
      <c r="F356" s="45"/>
      <c r="G356" s="60"/>
      <c r="H356" s="60"/>
      <c r="I356" s="60"/>
    </row>
    <row r="357" ht="15.75" hidden="1" customHeight="1">
      <c r="A357" s="135" t="s">
        <v>331</v>
      </c>
      <c r="B357" s="143" t="s">
        <v>257</v>
      </c>
      <c r="C357" s="144" t="s">
        <v>317</v>
      </c>
      <c r="D357" s="145" t="s">
        <v>109</v>
      </c>
      <c r="E357" s="127" t="s">
        <v>232</v>
      </c>
      <c r="F357" s="146" t="s">
        <v>9</v>
      </c>
      <c r="G357" s="60" t="s">
        <v>233</v>
      </c>
      <c r="H357" s="60"/>
      <c r="I357" s="60"/>
    </row>
    <row r="358" ht="16.5" hidden="1" customHeight="1">
      <c r="A358" s="140" t="s">
        <v>332</v>
      </c>
      <c r="B358" s="137">
        <v>85605.2</v>
      </c>
      <c r="C358" s="138">
        <v>2000.0</v>
      </c>
      <c r="D358" s="138">
        <v>150.0</v>
      </c>
      <c r="E358" s="45">
        <f>D358*$C$338</f>
        <v>90000</v>
      </c>
      <c r="F358" s="137">
        <v>196500.0</v>
      </c>
      <c r="G358" s="71">
        <f>SUM(B358:C358)*1.35</f>
        <v>118267.02</v>
      </c>
      <c r="H358" s="71">
        <f>G358-E358</f>
        <v>28267.02</v>
      </c>
      <c r="I358" s="109">
        <f>IF(AND(OR(F358="",E358&lt;(SUM(B358:C358)*(1+$I$279))),H358&gt;=20000),H358,"No Cobrar")</f>
        <v>28267.02</v>
      </c>
    </row>
    <row r="359" ht="15.75" hidden="1" customHeight="1">
      <c r="B359" s="45"/>
      <c r="C359" s="46"/>
      <c r="D359" s="46"/>
      <c r="E359" s="45"/>
      <c r="F359" s="45"/>
      <c r="G359" s="60"/>
      <c r="H359" s="60"/>
      <c r="I359" s="60"/>
    </row>
    <row r="360" ht="15.75" hidden="1" customHeight="1">
      <c r="A360" s="135" t="s">
        <v>333</v>
      </c>
      <c r="B360" s="143" t="s">
        <v>257</v>
      </c>
      <c r="C360" s="144" t="s">
        <v>317</v>
      </c>
      <c r="D360" s="145" t="s">
        <v>109</v>
      </c>
      <c r="E360" s="127" t="s">
        <v>232</v>
      </c>
      <c r="F360" s="146" t="s">
        <v>9</v>
      </c>
      <c r="G360" s="60" t="s">
        <v>233</v>
      </c>
      <c r="H360" s="60"/>
      <c r="I360" s="60"/>
    </row>
    <row r="361" ht="15.75" hidden="1" customHeight="1">
      <c r="A361" s="136" t="s">
        <v>307</v>
      </c>
      <c r="B361" s="137">
        <v>65361.68</v>
      </c>
      <c r="C361" s="138">
        <v>2000.0</v>
      </c>
      <c r="D361" s="138">
        <v>50.0</v>
      </c>
      <c r="E361" s="45">
        <f t="shared" ref="E361:E363" si="70">D361*$C$338</f>
        <v>30000</v>
      </c>
      <c r="F361" s="137">
        <v>65500.0</v>
      </c>
      <c r="G361" s="71">
        <f t="shared" ref="G361:G363" si="71">SUM(B361:C361)*1.35</f>
        <v>90938.268</v>
      </c>
      <c r="H361" s="71">
        <f t="shared" ref="H361:H363" si="72">G361-E361</f>
        <v>60938.268</v>
      </c>
      <c r="I361" s="109">
        <f t="shared" ref="I361:I363" si="73">IF(AND(OR(F361="",E361&lt;(SUM(B361:C361)*(1+$I$279))),H361&gt;=20000),H361,"No Cobrar")</f>
        <v>60938.268</v>
      </c>
    </row>
    <row r="362" ht="15.75" hidden="1" customHeight="1">
      <c r="A362" s="140" t="s">
        <v>334</v>
      </c>
      <c r="B362" s="137">
        <v>65361.68</v>
      </c>
      <c r="C362" s="138">
        <v>2000.0</v>
      </c>
      <c r="D362" s="138">
        <v>50.0</v>
      </c>
      <c r="E362" s="45">
        <f t="shared" si="70"/>
        <v>30000</v>
      </c>
      <c r="F362" s="137">
        <v>65500.0</v>
      </c>
      <c r="G362" s="71">
        <f t="shared" si="71"/>
        <v>90938.268</v>
      </c>
      <c r="H362" s="71">
        <f t="shared" si="72"/>
        <v>60938.268</v>
      </c>
      <c r="I362" s="109">
        <f t="shared" si="73"/>
        <v>60938.268</v>
      </c>
    </row>
    <row r="363" ht="15.75" hidden="1" customHeight="1">
      <c r="A363" s="140" t="s">
        <v>335</v>
      </c>
      <c r="B363" s="137">
        <v>198438.66</v>
      </c>
      <c r="C363" s="138">
        <v>2000.0</v>
      </c>
      <c r="D363" s="138">
        <v>130.0</v>
      </c>
      <c r="E363" s="45">
        <f t="shared" si="70"/>
        <v>78000</v>
      </c>
      <c r="F363" s="137">
        <v>170300.0</v>
      </c>
      <c r="G363" s="71">
        <f t="shared" si="71"/>
        <v>270592.191</v>
      </c>
      <c r="H363" s="71">
        <f t="shared" si="72"/>
        <v>192592.191</v>
      </c>
      <c r="I363" s="109">
        <f t="shared" si="73"/>
        <v>192592.191</v>
      </c>
    </row>
    <row r="364" ht="15.75" hidden="1" customHeight="1">
      <c r="A364" s="147"/>
      <c r="B364" s="148"/>
      <c r="C364" s="149"/>
      <c r="D364" s="150"/>
      <c r="E364" s="148"/>
      <c r="F364" s="148"/>
      <c r="G364" s="60"/>
      <c r="H364" s="60"/>
      <c r="I364" s="60"/>
    </row>
    <row r="365" ht="15.75" hidden="1" customHeight="1">
      <c r="A365" s="135" t="s">
        <v>336</v>
      </c>
      <c r="B365" s="143" t="s">
        <v>257</v>
      </c>
      <c r="C365" s="144" t="s">
        <v>317</v>
      </c>
      <c r="D365" s="145" t="s">
        <v>109</v>
      </c>
      <c r="E365" s="127" t="s">
        <v>232</v>
      </c>
      <c r="F365" s="146" t="s">
        <v>9</v>
      </c>
      <c r="G365" s="60" t="s">
        <v>233</v>
      </c>
      <c r="H365" s="60"/>
      <c r="I365" s="60"/>
    </row>
    <row r="366" ht="15.75" hidden="1" customHeight="1">
      <c r="A366" s="136" t="s">
        <v>320</v>
      </c>
      <c r="B366" s="137">
        <v>113898.0</v>
      </c>
      <c r="C366" s="138">
        <v>2000.0</v>
      </c>
      <c r="D366" s="138">
        <v>140.0</v>
      </c>
      <c r="E366" s="45">
        <f t="shared" ref="E366:E368" si="74">D366*$C$338</f>
        <v>84000</v>
      </c>
      <c r="F366" s="137">
        <v>183400.0</v>
      </c>
      <c r="G366" s="71">
        <f t="shared" ref="G366:G368" si="75">SUM(B366:C366)*1.35</f>
        <v>156462.3</v>
      </c>
      <c r="H366" s="71">
        <f t="shared" ref="H366:H368" si="76">G366-E366</f>
        <v>72462.3</v>
      </c>
      <c r="I366" s="109">
        <f t="shared" ref="I366:I368" si="77">IF(AND(OR(F366="",E366&lt;(SUM(B366:C366)*(1+$I$279))),H366&gt;=20000),H366,"No Cobrar")</f>
        <v>72462.3</v>
      </c>
    </row>
    <row r="367" ht="15.75" hidden="1" customHeight="1">
      <c r="A367" s="140" t="s">
        <v>52</v>
      </c>
      <c r="B367" s="137">
        <v>1194154.0</v>
      </c>
      <c r="C367" s="46">
        <v>20000.0</v>
      </c>
      <c r="D367" s="138">
        <v>300.0</v>
      </c>
      <c r="E367" s="45">
        <f t="shared" si="74"/>
        <v>180000</v>
      </c>
      <c r="F367" s="137">
        <v>393000.0</v>
      </c>
      <c r="G367" s="71">
        <f t="shared" si="75"/>
        <v>1639107.9</v>
      </c>
      <c r="H367" s="71">
        <f t="shared" si="76"/>
        <v>1459107.9</v>
      </c>
      <c r="I367" s="109">
        <f t="shared" si="77"/>
        <v>1459107.9</v>
      </c>
      <c r="J367" s="151"/>
    </row>
    <row r="368" ht="15.75" hidden="1" customHeight="1">
      <c r="A368" s="140" t="s">
        <v>324</v>
      </c>
      <c r="B368" s="137">
        <v>338925.35</v>
      </c>
      <c r="C368" s="138">
        <v>2000.0</v>
      </c>
      <c r="D368" s="138">
        <v>300.0</v>
      </c>
      <c r="E368" s="45">
        <f t="shared" si="74"/>
        <v>180000</v>
      </c>
      <c r="F368" s="137">
        <v>393000.0</v>
      </c>
      <c r="G368" s="71">
        <f t="shared" si="75"/>
        <v>460249.2225</v>
      </c>
      <c r="H368" s="71">
        <f t="shared" si="76"/>
        <v>280249.2225</v>
      </c>
      <c r="I368" s="109">
        <f t="shared" si="77"/>
        <v>280249.2225</v>
      </c>
    </row>
    <row r="369" ht="15.75" hidden="1" customHeight="1">
      <c r="B369" s="45"/>
      <c r="C369" s="46"/>
      <c r="D369" s="46"/>
      <c r="E369" s="45"/>
      <c r="F369" s="45"/>
      <c r="G369" s="60"/>
      <c r="H369" s="60"/>
      <c r="I369" s="60"/>
    </row>
    <row r="370" ht="15.75" hidden="1" customHeight="1">
      <c r="A370" s="135" t="s">
        <v>337</v>
      </c>
      <c r="B370" s="143" t="s">
        <v>257</v>
      </c>
      <c r="C370" s="144" t="s">
        <v>317</v>
      </c>
      <c r="D370" s="145" t="s">
        <v>109</v>
      </c>
      <c r="E370" s="127" t="s">
        <v>232</v>
      </c>
      <c r="F370" s="146" t="s">
        <v>9</v>
      </c>
      <c r="G370" s="60" t="s">
        <v>233</v>
      </c>
      <c r="H370" s="60"/>
      <c r="I370" s="60"/>
    </row>
    <row r="371" ht="15.75" hidden="1" customHeight="1">
      <c r="A371" s="136" t="s">
        <v>338</v>
      </c>
      <c r="B371" s="137">
        <v>43814.97</v>
      </c>
      <c r="C371" s="138">
        <v>2000.0</v>
      </c>
      <c r="D371" s="138">
        <v>45.0</v>
      </c>
      <c r="E371" s="45">
        <f>D371*$C$338</f>
        <v>27000</v>
      </c>
      <c r="F371" s="137">
        <v>58950.0</v>
      </c>
      <c r="G371" s="71">
        <f>SUM(B371:C371)*1.35</f>
        <v>61850.2095</v>
      </c>
      <c r="H371" s="71">
        <f>G371-E371</f>
        <v>34850.2095</v>
      </c>
      <c r="I371" s="109">
        <f>IF(AND(OR(F371="",E371&lt;(SUM(B371:C371)*(1+$I$279))),H371&gt;=20000),H371,"No Cobrar")</f>
        <v>34850.2095</v>
      </c>
    </row>
    <row r="372" ht="15.75" hidden="1" customHeight="1">
      <c r="B372" s="45"/>
      <c r="C372" s="46"/>
      <c r="D372" s="46"/>
      <c r="E372" s="45"/>
      <c r="F372" s="45"/>
      <c r="G372" s="60"/>
      <c r="H372" s="60"/>
      <c r="I372" s="60"/>
    </row>
    <row r="373" ht="15.75" hidden="1" customHeight="1">
      <c r="B373" s="45"/>
      <c r="C373" s="46"/>
      <c r="D373" s="46"/>
      <c r="E373" s="45"/>
      <c r="F373" s="45"/>
      <c r="G373" s="60"/>
      <c r="H373" s="60"/>
      <c r="I373" s="60"/>
    </row>
    <row r="374" ht="15.75" hidden="1" customHeight="1">
      <c r="A374" s="152" t="s">
        <v>197</v>
      </c>
      <c r="B374" s="153" t="s">
        <v>112</v>
      </c>
      <c r="C374" s="154">
        <v>600.0</v>
      </c>
      <c r="D374" s="46"/>
      <c r="E374" s="45"/>
      <c r="F374" s="45"/>
      <c r="G374" s="60"/>
      <c r="H374" s="60"/>
      <c r="I374" s="60"/>
    </row>
    <row r="375" ht="15.75" hidden="1" customHeight="1">
      <c r="B375" s="45"/>
      <c r="C375" s="46"/>
      <c r="D375" s="46"/>
      <c r="E375" s="45"/>
      <c r="F375" s="45"/>
      <c r="G375" s="60"/>
      <c r="H375" s="60"/>
      <c r="I375" s="60"/>
    </row>
    <row r="376" ht="15.75" hidden="1" customHeight="1">
      <c r="A376" s="135" t="s">
        <v>339</v>
      </c>
      <c r="B376" s="155" t="s">
        <v>257</v>
      </c>
      <c r="C376" s="144" t="s">
        <v>317</v>
      </c>
      <c r="D376" s="156" t="s">
        <v>109</v>
      </c>
      <c r="E376" s="127" t="s">
        <v>232</v>
      </c>
      <c r="F376" s="157" t="s">
        <v>9</v>
      </c>
      <c r="G376" s="60" t="s">
        <v>233</v>
      </c>
      <c r="H376" s="60"/>
      <c r="I376" s="60"/>
    </row>
    <row r="377" ht="15.75" hidden="1" customHeight="1">
      <c r="A377" s="136" t="s">
        <v>340</v>
      </c>
      <c r="B377" s="137">
        <v>2000.0</v>
      </c>
      <c r="C377" s="138">
        <v>2000.0</v>
      </c>
      <c r="D377" s="138">
        <v>150.0</v>
      </c>
      <c r="E377" s="45">
        <f>D377*$C$374</f>
        <v>90000</v>
      </c>
      <c r="F377" s="137">
        <v>210750.0</v>
      </c>
      <c r="G377" s="71">
        <f>SUM(B377:C377)*1.35</f>
        <v>5400</v>
      </c>
      <c r="H377" s="71">
        <f>G377-E377</f>
        <v>-84600</v>
      </c>
      <c r="I377" s="109" t="str">
        <f>IF(AND(OR(F377="",E377&lt;(SUM(B377:C377)*(1+$I$279))),H377&gt;=20000),H377,"No Cobrar")</f>
        <v>No Cobrar</v>
      </c>
    </row>
    <row r="378" ht="15.75" hidden="1" customHeight="1">
      <c r="A378" s="147"/>
      <c r="B378" s="158"/>
      <c r="C378" s="149"/>
      <c r="D378" s="159"/>
      <c r="E378" s="148"/>
      <c r="F378" s="158"/>
      <c r="G378" s="60"/>
      <c r="H378" s="60"/>
      <c r="I378" s="60"/>
    </row>
    <row r="379" ht="15.75" hidden="1" customHeight="1">
      <c r="A379" s="135" t="s">
        <v>341</v>
      </c>
      <c r="B379" s="155" t="s">
        <v>257</v>
      </c>
      <c r="C379" s="144" t="s">
        <v>317</v>
      </c>
      <c r="D379" s="156" t="s">
        <v>109</v>
      </c>
      <c r="E379" s="127" t="s">
        <v>232</v>
      </c>
      <c r="F379" s="157" t="s">
        <v>9</v>
      </c>
      <c r="G379" s="60" t="s">
        <v>233</v>
      </c>
      <c r="H379" s="60"/>
      <c r="I379" s="60"/>
    </row>
    <row r="380" ht="15.75" hidden="1" customHeight="1">
      <c r="A380" s="136" t="s">
        <v>342</v>
      </c>
      <c r="B380" s="137">
        <v>85605.0</v>
      </c>
      <c r="C380" s="138">
        <v>2000.0</v>
      </c>
      <c r="D380" s="138">
        <v>150.0</v>
      </c>
      <c r="E380" s="45">
        <f>D380*$C$374</f>
        <v>90000</v>
      </c>
      <c r="F380" s="137">
        <v>210750.0</v>
      </c>
      <c r="G380" s="71">
        <f>SUM(B380:C380)*1.35</f>
        <v>118266.75</v>
      </c>
      <c r="H380" s="71">
        <f>G380-E380</f>
        <v>28266.75</v>
      </c>
      <c r="I380" s="109">
        <f>IF(AND(OR(F380="",E380&lt;(SUM(B380:C380)*(1+$I$279))),H380&gt;=20000),H380,"No Cobrar")</f>
        <v>28266.75</v>
      </c>
    </row>
    <row r="381" ht="15.75" hidden="1" customHeight="1">
      <c r="B381" s="45"/>
      <c r="C381" s="46"/>
      <c r="D381" s="46"/>
      <c r="E381" s="45"/>
      <c r="F381" s="45"/>
      <c r="G381" s="60"/>
      <c r="H381" s="60"/>
      <c r="I381" s="60"/>
    </row>
    <row r="382" ht="15.75" hidden="1" customHeight="1">
      <c r="A382" s="160" t="s">
        <v>343</v>
      </c>
      <c r="B382" s="155" t="s">
        <v>257</v>
      </c>
      <c r="C382" s="144" t="s">
        <v>317</v>
      </c>
      <c r="D382" s="156" t="s">
        <v>109</v>
      </c>
      <c r="E382" s="127" t="s">
        <v>232</v>
      </c>
      <c r="F382" s="157" t="s">
        <v>9</v>
      </c>
      <c r="G382" s="60" t="s">
        <v>233</v>
      </c>
      <c r="H382" s="60"/>
      <c r="I382" s="60"/>
    </row>
    <row r="383" ht="15.75" hidden="1" customHeight="1">
      <c r="A383" s="136" t="s">
        <v>344</v>
      </c>
      <c r="B383" s="137">
        <v>207170.0</v>
      </c>
      <c r="C383" s="138">
        <v>2000.0</v>
      </c>
      <c r="D383" s="138">
        <v>0.0</v>
      </c>
      <c r="E383" s="45">
        <f>D383*$C$374</f>
        <v>0</v>
      </c>
      <c r="F383" s="137">
        <v>0.0</v>
      </c>
      <c r="G383" s="71">
        <f>SUM(B383:C383)*1.35</f>
        <v>282379.5</v>
      </c>
      <c r="H383" s="71">
        <f>G383-E383</f>
        <v>282379.5</v>
      </c>
      <c r="I383" s="109">
        <f>IF(AND(OR(F383="",E383&lt;(SUM(B383:C383)*(1+$I$279))),H383&gt;=20000),H383,"No Cobrar")</f>
        <v>282379.5</v>
      </c>
    </row>
    <row r="384" ht="15.75" hidden="1" customHeight="1">
      <c r="B384" s="45"/>
      <c r="C384" s="46"/>
      <c r="D384" s="46"/>
      <c r="E384" s="45"/>
      <c r="F384" s="45"/>
      <c r="G384" s="60"/>
      <c r="H384" s="60"/>
      <c r="I384" s="60"/>
    </row>
    <row r="385" ht="15.75" hidden="1" customHeight="1">
      <c r="A385" s="135" t="s">
        <v>345</v>
      </c>
      <c r="B385" s="155" t="s">
        <v>257</v>
      </c>
      <c r="C385" s="144" t="s">
        <v>317</v>
      </c>
      <c r="D385" s="156" t="s">
        <v>109</v>
      </c>
      <c r="E385" s="127" t="s">
        <v>232</v>
      </c>
      <c r="F385" s="157" t="s">
        <v>9</v>
      </c>
      <c r="G385" s="60" t="s">
        <v>233</v>
      </c>
      <c r="H385" s="60"/>
      <c r="I385" s="60"/>
    </row>
    <row r="386" ht="15.75" hidden="1" customHeight="1">
      <c r="A386" s="140" t="s">
        <v>346</v>
      </c>
      <c r="B386" s="137">
        <v>154654.5</v>
      </c>
      <c r="C386" s="138">
        <v>2000.0</v>
      </c>
      <c r="D386" s="138">
        <v>0.0</v>
      </c>
      <c r="E386" s="45">
        <f>D386*$C$374</f>
        <v>0</v>
      </c>
      <c r="F386" s="137">
        <v>0.0</v>
      </c>
      <c r="G386" s="71">
        <f>SUM(B386:C386)*1.35</f>
        <v>211483.575</v>
      </c>
      <c r="H386" s="71">
        <f>G386-E386</f>
        <v>211483.575</v>
      </c>
      <c r="I386" s="109">
        <f>IF(AND(OR(F386="",E386&lt;(SUM(B386:C386)*(1+$I$279))),H386&gt;=20000),H386,"No Cobrar")</f>
        <v>211483.575</v>
      </c>
    </row>
    <row r="387" ht="15.75" hidden="1" customHeight="1">
      <c r="B387" s="45"/>
      <c r="C387" s="46"/>
      <c r="D387" s="46"/>
      <c r="E387" s="45"/>
      <c r="F387" s="45"/>
      <c r="G387" s="60"/>
      <c r="H387" s="60"/>
      <c r="I387" s="60"/>
    </row>
    <row r="388" ht="15.75" hidden="1" customHeight="1">
      <c r="A388" s="135" t="s">
        <v>347</v>
      </c>
      <c r="B388" s="155" t="s">
        <v>257</v>
      </c>
      <c r="C388" s="144" t="s">
        <v>317</v>
      </c>
      <c r="D388" s="156" t="s">
        <v>109</v>
      </c>
      <c r="E388" s="127" t="s">
        <v>232</v>
      </c>
      <c r="F388" s="157" t="s">
        <v>9</v>
      </c>
      <c r="G388" s="60" t="s">
        <v>233</v>
      </c>
      <c r="H388" s="60"/>
      <c r="I388" s="60"/>
    </row>
    <row r="389" ht="15.75" hidden="1" customHeight="1">
      <c r="A389" s="136" t="s">
        <v>348</v>
      </c>
      <c r="B389" s="137">
        <v>38975.0</v>
      </c>
      <c r="C389" s="138">
        <v>2000.0</v>
      </c>
      <c r="D389" s="138">
        <v>40.0</v>
      </c>
      <c r="E389" s="45">
        <f>D389*$C$374</f>
        <v>24000</v>
      </c>
      <c r="F389" s="137">
        <v>56200.0</v>
      </c>
      <c r="G389" s="71">
        <f>SUM(B389:C389)*1.35</f>
        <v>55316.25</v>
      </c>
      <c r="H389" s="71">
        <f>G389-E389</f>
        <v>31316.25</v>
      </c>
      <c r="I389" s="109">
        <f>IF(AND(OR(F389="",E389&lt;(SUM(B389:C389)*(1+$I$279))),H389&gt;=20000),H389,"No Cobrar")</f>
        <v>31316.25</v>
      </c>
    </row>
    <row r="390" ht="15.75" hidden="1" customHeight="1">
      <c r="B390" s="45"/>
      <c r="C390" s="46"/>
      <c r="D390" s="46"/>
      <c r="E390" s="45"/>
      <c r="F390" s="45"/>
      <c r="G390" s="60"/>
      <c r="H390" s="60"/>
      <c r="I390" s="60"/>
    </row>
    <row r="391" ht="15.75" hidden="1" customHeight="1">
      <c r="A391" s="135" t="s">
        <v>319</v>
      </c>
      <c r="B391" s="155" t="s">
        <v>257</v>
      </c>
      <c r="C391" s="144" t="s">
        <v>317</v>
      </c>
      <c r="D391" s="156" t="s">
        <v>109</v>
      </c>
      <c r="E391" s="127" t="s">
        <v>232</v>
      </c>
      <c r="F391" s="157" t="s">
        <v>9</v>
      </c>
      <c r="G391" s="60" t="s">
        <v>233</v>
      </c>
      <c r="H391" s="60"/>
      <c r="I391" s="60"/>
    </row>
    <row r="392" ht="15.75" hidden="1" customHeight="1">
      <c r="A392" s="136" t="s">
        <v>349</v>
      </c>
      <c r="B392" s="137">
        <v>104475.75</v>
      </c>
      <c r="C392" s="138">
        <v>2000.0</v>
      </c>
      <c r="D392" s="138">
        <v>0.0</v>
      </c>
      <c r="E392" s="45">
        <f>D392*$C$374</f>
        <v>0</v>
      </c>
      <c r="F392" s="137">
        <v>0.0</v>
      </c>
      <c r="G392" s="71">
        <f>SUM(B392:C392)*1.35</f>
        <v>143742.2625</v>
      </c>
      <c r="H392" s="71">
        <f>G392-E392</f>
        <v>143742.2625</v>
      </c>
      <c r="I392" s="109">
        <f>IF(AND(OR(F392="",E392&lt;(SUM(B392:C392)*(1+$I$279))),H392&gt;=20000),H392,"No Cobrar")</f>
        <v>143742.2625</v>
      </c>
    </row>
    <row r="393" ht="15.75" hidden="1" customHeight="1">
      <c r="B393" s="45"/>
      <c r="C393" s="46"/>
      <c r="D393" s="46"/>
      <c r="E393" s="45"/>
      <c r="F393" s="45"/>
      <c r="G393" s="60"/>
      <c r="H393" s="60"/>
      <c r="I393" s="60"/>
    </row>
    <row r="394" ht="15.75" hidden="1" customHeight="1">
      <c r="A394" s="135" t="s">
        <v>350</v>
      </c>
      <c r="B394" s="155" t="s">
        <v>257</v>
      </c>
      <c r="C394" s="144" t="s">
        <v>317</v>
      </c>
      <c r="D394" s="156" t="s">
        <v>109</v>
      </c>
      <c r="E394" s="127" t="s">
        <v>232</v>
      </c>
      <c r="F394" s="157" t="s">
        <v>9</v>
      </c>
      <c r="G394" s="60" t="s">
        <v>233</v>
      </c>
      <c r="H394" s="60"/>
      <c r="I394" s="60"/>
    </row>
    <row r="395" ht="15.75" hidden="1" customHeight="1">
      <c r="A395" s="136" t="s">
        <v>351</v>
      </c>
      <c r="B395" s="137">
        <v>38975.0</v>
      </c>
      <c r="C395" s="138">
        <v>2000.0</v>
      </c>
      <c r="D395" s="138">
        <v>40.0</v>
      </c>
      <c r="E395" s="45">
        <f>D395*$C$374</f>
        <v>24000</v>
      </c>
      <c r="F395" s="137">
        <v>56200.0</v>
      </c>
      <c r="G395" s="71">
        <f>SUM(B395:C395)*1.35</f>
        <v>55316.25</v>
      </c>
      <c r="H395" s="71">
        <f>G395-E395</f>
        <v>31316.25</v>
      </c>
      <c r="I395" s="109">
        <f>IF(AND(OR(F395="",E395&lt;(SUM(B395:C395)*(1+$I$279))),H395&gt;=20000),H395,"No Cobrar")</f>
        <v>31316.25</v>
      </c>
    </row>
    <row r="396" ht="15.75" hidden="1" customHeight="1">
      <c r="B396" s="45"/>
      <c r="C396" s="46"/>
      <c r="D396" s="46"/>
      <c r="E396" s="45"/>
      <c r="F396" s="45"/>
      <c r="G396" s="60"/>
      <c r="H396" s="60"/>
      <c r="I396" s="60"/>
    </row>
    <row r="397" ht="15.75" hidden="1" customHeight="1">
      <c r="A397" s="135" t="s">
        <v>352</v>
      </c>
      <c r="B397" s="155" t="s">
        <v>257</v>
      </c>
      <c r="C397" s="144" t="s">
        <v>317</v>
      </c>
      <c r="D397" s="156" t="s">
        <v>109</v>
      </c>
      <c r="E397" s="127" t="s">
        <v>232</v>
      </c>
      <c r="F397" s="157" t="s">
        <v>9</v>
      </c>
      <c r="G397" s="60" t="s">
        <v>233</v>
      </c>
      <c r="H397" s="60"/>
      <c r="I397" s="60"/>
    </row>
    <row r="398" ht="15.75" hidden="1" customHeight="1">
      <c r="A398" s="140" t="s">
        <v>353</v>
      </c>
      <c r="B398" s="137">
        <v>26374.0</v>
      </c>
      <c r="C398" s="138">
        <v>2000.0</v>
      </c>
      <c r="D398" s="138">
        <v>10.0</v>
      </c>
      <c r="E398" s="45">
        <f>D398*$C$374</f>
        <v>6000</v>
      </c>
      <c r="F398" s="137">
        <v>14050.0</v>
      </c>
      <c r="G398" s="71">
        <f>SUM(B398:C398)*1.35</f>
        <v>38304.9</v>
      </c>
      <c r="H398" s="71">
        <f>G398-E398</f>
        <v>32304.9</v>
      </c>
      <c r="I398" s="109">
        <f>IF(AND(OR(F398="",E398&lt;(SUM(B398:C398)*(1+$I$279))),H398&gt;=20000),H398,"No Cobrar")</f>
        <v>32304.9</v>
      </c>
    </row>
    <row r="399" ht="15.75" hidden="1" customHeight="1">
      <c r="B399" s="45"/>
      <c r="C399" s="46"/>
      <c r="D399" s="46"/>
      <c r="E399" s="45"/>
      <c r="F399" s="45"/>
      <c r="G399" s="60"/>
      <c r="H399" s="60"/>
      <c r="I399" s="60"/>
    </row>
    <row r="400" ht="15.75" hidden="1" customHeight="1">
      <c r="A400" s="135" t="s">
        <v>354</v>
      </c>
      <c r="B400" s="155" t="s">
        <v>257</v>
      </c>
      <c r="C400" s="144" t="s">
        <v>317</v>
      </c>
      <c r="D400" s="156" t="s">
        <v>109</v>
      </c>
      <c r="E400" s="127" t="s">
        <v>232</v>
      </c>
      <c r="F400" s="157" t="s">
        <v>9</v>
      </c>
      <c r="G400" s="60" t="s">
        <v>233</v>
      </c>
      <c r="H400" s="60"/>
      <c r="I400" s="60"/>
    </row>
    <row r="401" ht="15.75" hidden="1" customHeight="1">
      <c r="A401" s="136" t="s">
        <v>307</v>
      </c>
      <c r="B401" s="137">
        <v>59105.0</v>
      </c>
      <c r="C401" s="138">
        <v>2000.0</v>
      </c>
      <c r="D401" s="138">
        <v>50.0</v>
      </c>
      <c r="E401" s="45">
        <f t="shared" ref="E401:E405" si="78">D401*$C$374</f>
        <v>30000</v>
      </c>
      <c r="F401" s="137">
        <v>70250.0</v>
      </c>
      <c r="G401" s="71">
        <f t="shared" ref="G401:G405" si="79">SUM(B401:C401)*1.35</f>
        <v>82491.75</v>
      </c>
      <c r="H401" s="71">
        <f t="shared" ref="H401:H405" si="80">G401-E401</f>
        <v>52491.75</v>
      </c>
      <c r="I401" s="109">
        <f t="shared" ref="I401:I405" si="81">IF(AND(OR(F401="",E401&lt;(SUM(B401:C401)*(1+$I$279))),H401&gt;=20000),H401,"No Cobrar")</f>
        <v>52491.75</v>
      </c>
    </row>
    <row r="402" ht="15.75" hidden="1" customHeight="1">
      <c r="A402" s="140" t="s">
        <v>308</v>
      </c>
      <c r="B402" s="137">
        <v>59105.0</v>
      </c>
      <c r="C402" s="138">
        <v>2000.0</v>
      </c>
      <c r="D402" s="138">
        <v>50.0</v>
      </c>
      <c r="E402" s="45">
        <f t="shared" si="78"/>
        <v>30000</v>
      </c>
      <c r="F402" s="137">
        <v>70250.0</v>
      </c>
      <c r="G402" s="71">
        <f t="shared" si="79"/>
        <v>82491.75</v>
      </c>
      <c r="H402" s="71">
        <f t="shared" si="80"/>
        <v>52491.75</v>
      </c>
      <c r="I402" s="109">
        <f t="shared" si="81"/>
        <v>52491.75</v>
      </c>
    </row>
    <row r="403" ht="15.75" hidden="1" customHeight="1">
      <c r="A403" s="140" t="s">
        <v>351</v>
      </c>
      <c r="B403" s="137">
        <v>38975.0</v>
      </c>
      <c r="C403" s="138">
        <v>2000.0</v>
      </c>
      <c r="D403" s="138">
        <v>40.0</v>
      </c>
      <c r="E403" s="45">
        <f t="shared" si="78"/>
        <v>24000</v>
      </c>
      <c r="F403" s="137">
        <v>56200.0</v>
      </c>
      <c r="G403" s="71">
        <f t="shared" si="79"/>
        <v>55316.25</v>
      </c>
      <c r="H403" s="71">
        <f t="shared" si="80"/>
        <v>31316.25</v>
      </c>
      <c r="I403" s="109">
        <f t="shared" si="81"/>
        <v>31316.25</v>
      </c>
    </row>
    <row r="404" ht="15.75" hidden="1" customHeight="1">
      <c r="A404" s="140" t="s">
        <v>355</v>
      </c>
      <c r="B404" s="137">
        <v>35251.0</v>
      </c>
      <c r="C404" s="138">
        <v>2000.0</v>
      </c>
      <c r="D404" s="138">
        <v>40.0</v>
      </c>
      <c r="E404" s="45">
        <f t="shared" si="78"/>
        <v>24000</v>
      </c>
      <c r="F404" s="137">
        <v>56200.0</v>
      </c>
      <c r="G404" s="71">
        <f t="shared" si="79"/>
        <v>50288.85</v>
      </c>
      <c r="H404" s="71">
        <f t="shared" si="80"/>
        <v>26288.85</v>
      </c>
      <c r="I404" s="109">
        <f t="shared" si="81"/>
        <v>26288.85</v>
      </c>
    </row>
    <row r="405" ht="15.75" hidden="1" customHeight="1">
      <c r="A405" s="140" t="s">
        <v>356</v>
      </c>
      <c r="B405" s="137">
        <v>205384.0</v>
      </c>
      <c r="C405" s="138">
        <v>2000.0</v>
      </c>
      <c r="D405" s="138">
        <v>130.0</v>
      </c>
      <c r="E405" s="45">
        <f t="shared" si="78"/>
        <v>78000</v>
      </c>
      <c r="F405" s="137">
        <v>182650.0</v>
      </c>
      <c r="G405" s="71">
        <f t="shared" si="79"/>
        <v>279968.4</v>
      </c>
      <c r="H405" s="71">
        <f t="shared" si="80"/>
        <v>201968.4</v>
      </c>
      <c r="I405" s="109">
        <f t="shared" si="81"/>
        <v>201968.4</v>
      </c>
    </row>
    <row r="406" ht="15.75" hidden="1" customHeight="1">
      <c r="B406" s="45"/>
      <c r="C406" s="46"/>
      <c r="D406" s="46"/>
      <c r="E406" s="45"/>
      <c r="F406" s="45"/>
      <c r="G406" s="60"/>
      <c r="H406" s="60"/>
      <c r="I406" s="60"/>
    </row>
    <row r="407" ht="15.75" hidden="1" customHeight="1">
      <c r="A407" s="135" t="s">
        <v>357</v>
      </c>
      <c r="B407" s="155" t="s">
        <v>257</v>
      </c>
      <c r="C407" s="144" t="s">
        <v>317</v>
      </c>
      <c r="D407" s="156" t="s">
        <v>109</v>
      </c>
      <c r="E407" s="127" t="s">
        <v>232</v>
      </c>
      <c r="F407" s="157" t="s">
        <v>9</v>
      </c>
      <c r="G407" s="60" t="s">
        <v>233</v>
      </c>
      <c r="H407" s="60"/>
      <c r="I407" s="60"/>
    </row>
    <row r="408" ht="15.75" hidden="1" customHeight="1">
      <c r="A408" s="136" t="s">
        <v>358</v>
      </c>
      <c r="B408" s="137">
        <v>104475.75</v>
      </c>
      <c r="C408" s="138">
        <v>2000.0</v>
      </c>
      <c r="D408" s="138">
        <v>0.0</v>
      </c>
      <c r="E408" s="45">
        <f>D408*$C$374</f>
        <v>0</v>
      </c>
      <c r="F408" s="137">
        <v>0.0</v>
      </c>
      <c r="G408" s="71">
        <f>SUM(B408:C408)*1.35</f>
        <v>143742.2625</v>
      </c>
      <c r="H408" s="71">
        <f>G408-E408</f>
        <v>143742.2625</v>
      </c>
      <c r="I408" s="109">
        <f>IF(AND(OR(F408="",E408&lt;(SUM(B408:C408)*(1+$I$279))),H408&gt;=20000),H408,"No Cobrar")</f>
        <v>143742.2625</v>
      </c>
    </row>
    <row r="409" ht="15.75" hidden="1" customHeight="1">
      <c r="B409" s="45"/>
      <c r="C409" s="46"/>
      <c r="D409" s="46"/>
      <c r="E409" s="45"/>
      <c r="F409" s="45"/>
      <c r="G409" s="60"/>
      <c r="H409" s="60"/>
      <c r="I409" s="60"/>
    </row>
    <row r="410" ht="15.75" hidden="1" customHeight="1">
      <c r="A410" s="135" t="s">
        <v>359</v>
      </c>
      <c r="B410" s="155" t="s">
        <v>257</v>
      </c>
      <c r="C410" s="144" t="s">
        <v>317</v>
      </c>
      <c r="D410" s="156" t="s">
        <v>109</v>
      </c>
      <c r="E410" s="127" t="s">
        <v>232</v>
      </c>
      <c r="F410" s="157" t="s">
        <v>9</v>
      </c>
      <c r="G410" s="60" t="s">
        <v>233</v>
      </c>
      <c r="H410" s="60"/>
      <c r="I410" s="60"/>
    </row>
    <row r="411" ht="15.75" hidden="1" customHeight="1">
      <c r="A411" s="136" t="s">
        <v>358</v>
      </c>
      <c r="B411" s="137">
        <v>104475.75</v>
      </c>
      <c r="C411" s="138">
        <v>2000.0</v>
      </c>
      <c r="D411" s="138">
        <v>0.0</v>
      </c>
      <c r="E411" s="45">
        <f>D411*$C$374</f>
        <v>0</v>
      </c>
      <c r="F411" s="137">
        <v>0.0</v>
      </c>
      <c r="G411" s="71">
        <f>SUM(B411:C411)*1.35</f>
        <v>143742.2625</v>
      </c>
      <c r="H411" s="71">
        <f>G411-E411</f>
        <v>143742.2625</v>
      </c>
      <c r="I411" s="109">
        <f>IF(AND(OR(F411="",E411&lt;(SUM(B411:C411)*(1+$I$279))),H411&gt;=20000),H411,"No Cobrar")</f>
        <v>143742.2625</v>
      </c>
    </row>
    <row r="412" ht="15.75" hidden="1" customHeight="1">
      <c r="B412" s="45"/>
      <c r="C412" s="46"/>
      <c r="D412" s="46"/>
      <c r="E412" s="45"/>
      <c r="F412" s="45"/>
      <c r="G412" s="60"/>
      <c r="H412" s="60"/>
      <c r="I412" s="60"/>
    </row>
    <row r="413" ht="15.75" hidden="1" customHeight="1">
      <c r="A413" s="135" t="s">
        <v>360</v>
      </c>
      <c r="B413" s="155" t="s">
        <v>257</v>
      </c>
      <c r="C413" s="144" t="s">
        <v>317</v>
      </c>
      <c r="D413" s="156" t="s">
        <v>109</v>
      </c>
      <c r="E413" s="127" t="s">
        <v>232</v>
      </c>
      <c r="F413" s="157" t="s">
        <v>9</v>
      </c>
      <c r="G413" s="60" t="s">
        <v>233</v>
      </c>
      <c r="H413" s="60"/>
      <c r="I413" s="60"/>
    </row>
    <row r="414" ht="15.75" hidden="1" customHeight="1">
      <c r="A414" s="136" t="s">
        <v>301</v>
      </c>
      <c r="B414" s="137">
        <v>1194154.0</v>
      </c>
      <c r="C414" s="138">
        <v>2000.0</v>
      </c>
      <c r="D414" s="138">
        <v>0.0</v>
      </c>
      <c r="E414" s="45">
        <f>D414*$C$374</f>
        <v>0</v>
      </c>
      <c r="F414" s="137">
        <v>0.0</v>
      </c>
      <c r="G414" s="71">
        <f>SUM(B414:C414)*1.35</f>
        <v>1614807.9</v>
      </c>
      <c r="H414" s="71">
        <f>G414-E414</f>
        <v>1614807.9</v>
      </c>
      <c r="I414" s="109">
        <f>IF(AND(OR(F414="",E414&lt;(SUM(B414:C414)*(1+$I$279))),H414&gt;=20000),H414,"No Cobrar")</f>
        <v>1614807.9</v>
      </c>
    </row>
    <row r="415" ht="15.75" hidden="1" customHeight="1">
      <c r="B415" s="45"/>
      <c r="C415" s="46"/>
      <c r="D415" s="46"/>
      <c r="E415" s="45"/>
      <c r="F415" s="45"/>
      <c r="G415" s="60"/>
      <c r="H415" s="60"/>
      <c r="I415" s="60"/>
    </row>
    <row r="416" ht="15.75" hidden="1" customHeight="1">
      <c r="A416" s="161" t="s">
        <v>361</v>
      </c>
      <c r="B416" s="162" t="s">
        <v>112</v>
      </c>
      <c r="C416" s="163">
        <v>700.0</v>
      </c>
      <c r="D416" s="164"/>
      <c r="E416" s="165"/>
      <c r="F416" s="165"/>
      <c r="G416" s="166"/>
      <c r="H416" s="166"/>
      <c r="I416" s="166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</row>
    <row r="417" ht="15.75" hidden="1" customHeight="1">
      <c r="A417" s="168"/>
      <c r="B417" s="169"/>
      <c r="C417" s="170"/>
      <c r="D417" s="170"/>
      <c r="E417" s="169"/>
      <c r="F417" s="169"/>
      <c r="G417" s="171"/>
      <c r="H417" s="171"/>
      <c r="I417" s="171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</row>
    <row r="418" ht="15.75" hidden="1" customHeight="1">
      <c r="A418" s="172" t="s">
        <v>362</v>
      </c>
      <c r="B418" s="173" t="s">
        <v>257</v>
      </c>
      <c r="C418" s="174" t="s">
        <v>317</v>
      </c>
      <c r="D418" s="175" t="s">
        <v>109</v>
      </c>
      <c r="E418" s="176" t="s">
        <v>232</v>
      </c>
      <c r="F418" s="177" t="s">
        <v>9</v>
      </c>
      <c r="G418" s="166" t="s">
        <v>233</v>
      </c>
      <c r="H418" s="166"/>
      <c r="I418" s="166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</row>
    <row r="419" ht="15.75" hidden="1" customHeight="1">
      <c r="A419" s="178" t="s">
        <v>363</v>
      </c>
      <c r="B419" s="179">
        <v>34186.28</v>
      </c>
      <c r="C419" s="180">
        <v>2000.0</v>
      </c>
      <c r="D419" s="181">
        <v>40.0</v>
      </c>
      <c r="E419" s="182">
        <f t="shared" ref="E419:E420" si="82">D419*$C$416</f>
        <v>28000</v>
      </c>
      <c r="F419" s="179">
        <v>56200.0</v>
      </c>
      <c r="G419" s="183">
        <f t="shared" ref="G419:G420" si="83">SUM(B419:C419)*1.35</f>
        <v>48851.478</v>
      </c>
      <c r="H419" s="183">
        <f t="shared" ref="H419:H420" si="84">G419-E419</f>
        <v>20851.478</v>
      </c>
      <c r="I419" s="184">
        <f t="shared" ref="I419:I420" si="85">IF(AND(OR(F419="",E419&lt;(SUM(B419:C419)*(1+$I$279))),H419&gt;=20000),H419,"No Cobrar")</f>
        <v>20851.478</v>
      </c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</row>
    <row r="420" ht="15.75" hidden="1" customHeight="1">
      <c r="A420" s="140" t="s">
        <v>364</v>
      </c>
      <c r="B420" s="179">
        <v>33184.59</v>
      </c>
      <c r="C420" s="180">
        <v>2000.0</v>
      </c>
      <c r="D420" s="181">
        <v>38.0</v>
      </c>
      <c r="E420" s="182">
        <f t="shared" si="82"/>
        <v>26600</v>
      </c>
      <c r="F420" s="179">
        <v>53390.0</v>
      </c>
      <c r="G420" s="183">
        <f t="shared" si="83"/>
        <v>47499.1965</v>
      </c>
      <c r="H420" s="183">
        <f t="shared" si="84"/>
        <v>20899.1965</v>
      </c>
      <c r="I420" s="184">
        <f t="shared" si="85"/>
        <v>20899.1965</v>
      </c>
    </row>
    <row r="421" ht="15.75" hidden="1" customHeight="1">
      <c r="B421" s="45"/>
      <c r="C421" s="46"/>
      <c r="D421" s="46"/>
      <c r="E421" s="45"/>
      <c r="F421" s="45"/>
      <c r="G421" s="60"/>
      <c r="H421" s="60"/>
      <c r="I421" s="60"/>
    </row>
    <row r="422" ht="15.75" hidden="1" customHeight="1">
      <c r="A422" s="172" t="s">
        <v>365</v>
      </c>
      <c r="B422" s="173" t="s">
        <v>257</v>
      </c>
      <c r="C422" s="174" t="s">
        <v>317</v>
      </c>
      <c r="D422" s="175" t="s">
        <v>109</v>
      </c>
      <c r="E422" s="176" t="s">
        <v>232</v>
      </c>
      <c r="F422" s="177" t="s">
        <v>9</v>
      </c>
      <c r="G422" s="166" t="s">
        <v>233</v>
      </c>
      <c r="H422" s="166"/>
      <c r="I422" s="166"/>
    </row>
    <row r="423" ht="15.75" hidden="1" customHeight="1">
      <c r="A423" s="178" t="s">
        <v>366</v>
      </c>
      <c r="B423" s="179">
        <v>348731.99</v>
      </c>
      <c r="C423" s="180">
        <v>2000.0</v>
      </c>
      <c r="D423" s="181">
        <v>130.0</v>
      </c>
      <c r="E423" s="182">
        <f>D423*$C$416</f>
        <v>91000</v>
      </c>
      <c r="F423" s="179">
        <v>182650.0</v>
      </c>
      <c r="G423" s="183">
        <f>SUM(B423:C423)*1.35</f>
        <v>473488.1865</v>
      </c>
      <c r="H423" s="183">
        <f>G423-E423</f>
        <v>382488.1865</v>
      </c>
      <c r="I423" s="185">
        <f>IF(AND(OR(F423="",E423&lt;(SUM(B423:C423)*(1+$I$279))),H423&gt;=20000),H423,"No Cobrar")</f>
        <v>382488.1865</v>
      </c>
    </row>
    <row r="424" ht="15.75" hidden="1" customHeight="1">
      <c r="B424" s="45"/>
      <c r="C424" s="46"/>
      <c r="D424" s="46"/>
      <c r="E424" s="45"/>
      <c r="F424" s="45"/>
      <c r="G424" s="60"/>
      <c r="H424" s="60"/>
      <c r="I424" s="60"/>
    </row>
    <row r="425" ht="15.75" hidden="1" customHeight="1">
      <c r="A425" s="172" t="s">
        <v>367</v>
      </c>
      <c r="B425" s="173" t="s">
        <v>257</v>
      </c>
      <c r="C425" s="174" t="s">
        <v>317</v>
      </c>
      <c r="D425" s="175" t="s">
        <v>109</v>
      </c>
      <c r="E425" s="176" t="s">
        <v>232</v>
      </c>
      <c r="F425" s="177" t="s">
        <v>9</v>
      </c>
      <c r="G425" s="166" t="s">
        <v>233</v>
      </c>
      <c r="H425" s="166"/>
      <c r="I425" s="166"/>
    </row>
    <row r="426" ht="15.75" hidden="1" customHeight="1">
      <c r="A426" s="178" t="s">
        <v>368</v>
      </c>
      <c r="B426" s="179">
        <v>615622.04</v>
      </c>
      <c r="C426" s="180">
        <v>2000.0</v>
      </c>
      <c r="D426" s="181">
        <v>900.0</v>
      </c>
      <c r="E426" s="182">
        <f>D426*$C$416</f>
        <v>630000</v>
      </c>
      <c r="F426" s="179">
        <v>1264500.0</v>
      </c>
      <c r="G426" s="183">
        <f>SUM(B426:C426)*1.35</f>
        <v>833789.754</v>
      </c>
      <c r="H426" s="183">
        <f>G426-E426</f>
        <v>203789.754</v>
      </c>
      <c r="I426" s="185">
        <f>IF(AND(OR(F426="",E426&lt;(SUM(B426:C426)*(1+$I$279))),H426&gt;=20000),H426,"No Cobrar")</f>
        <v>203789.754</v>
      </c>
    </row>
    <row r="427" ht="15.75" hidden="1" customHeight="1">
      <c r="B427" s="45"/>
      <c r="C427" s="46"/>
      <c r="D427" s="46"/>
      <c r="E427" s="45"/>
      <c r="F427" s="45"/>
      <c r="G427" s="60"/>
      <c r="H427" s="60"/>
      <c r="I427" s="60"/>
    </row>
    <row r="428" ht="15.75" hidden="1" customHeight="1">
      <c r="A428" s="172" t="s">
        <v>369</v>
      </c>
      <c r="B428" s="173" t="s">
        <v>257</v>
      </c>
      <c r="C428" s="174" t="s">
        <v>317</v>
      </c>
      <c r="D428" s="175" t="s">
        <v>109</v>
      </c>
      <c r="E428" s="176" t="s">
        <v>232</v>
      </c>
      <c r="F428" s="177" t="s">
        <v>9</v>
      </c>
      <c r="G428" s="166" t="s">
        <v>233</v>
      </c>
      <c r="H428" s="166"/>
      <c r="I428" s="166"/>
    </row>
    <row r="429" ht="15.75" hidden="1" customHeight="1">
      <c r="A429" s="140" t="s">
        <v>370</v>
      </c>
      <c r="B429" s="179">
        <v>146218.8</v>
      </c>
      <c r="C429" s="180">
        <v>2000.0</v>
      </c>
      <c r="D429" s="181">
        <v>220.0</v>
      </c>
      <c r="E429" s="182">
        <f>D429*$C$416</f>
        <v>154000</v>
      </c>
      <c r="F429" s="179">
        <v>309100.0</v>
      </c>
      <c r="G429" s="183">
        <f>SUM(B429:C429)*1.35</f>
        <v>200095.38</v>
      </c>
      <c r="H429" s="183">
        <f>G429-E429</f>
        <v>46095.38</v>
      </c>
      <c r="I429" s="185">
        <f>IF(AND(OR(F429="",E429&lt;(SUM(B429:C429)*(1+$I$279))),H429&gt;=20000),H429,"No Cobrar")</f>
        <v>46095.38</v>
      </c>
    </row>
    <row r="430" ht="15.75" hidden="1" customHeight="1">
      <c r="B430" s="45"/>
      <c r="C430" s="46"/>
      <c r="D430" s="46"/>
      <c r="E430" s="45"/>
      <c r="F430" s="45"/>
      <c r="G430" s="60"/>
      <c r="H430" s="60"/>
      <c r="I430" s="60"/>
    </row>
    <row r="431" ht="15.75" hidden="1" customHeight="1">
      <c r="A431" s="172" t="s">
        <v>371</v>
      </c>
      <c r="B431" s="173" t="s">
        <v>257</v>
      </c>
      <c r="C431" s="174" t="s">
        <v>317</v>
      </c>
      <c r="D431" s="175" t="s">
        <v>109</v>
      </c>
      <c r="E431" s="176" t="s">
        <v>232</v>
      </c>
      <c r="F431" s="177" t="s">
        <v>9</v>
      </c>
      <c r="G431" s="166" t="s">
        <v>233</v>
      </c>
      <c r="H431" s="166"/>
      <c r="I431" s="166"/>
    </row>
    <row r="432" ht="15.75" hidden="1" customHeight="1">
      <c r="A432" s="178" t="s">
        <v>372</v>
      </c>
      <c r="B432" s="179">
        <v>113813.29</v>
      </c>
      <c r="C432" s="180">
        <v>2000.0</v>
      </c>
      <c r="D432" s="181">
        <v>100.0</v>
      </c>
      <c r="E432" s="182">
        <f>D432*$C$416</f>
        <v>70000</v>
      </c>
      <c r="F432" s="179">
        <v>140500.0</v>
      </c>
      <c r="G432" s="183">
        <f>SUM(B432:C432)*1.35</f>
        <v>156347.9415</v>
      </c>
      <c r="H432" s="183">
        <f>G432-E432</f>
        <v>86347.9415</v>
      </c>
      <c r="I432" s="185">
        <f>IF(AND(OR(F432="",E432&lt;(SUM(B432:C432)*(1+$I$279))),H432&gt;=20000),H432,"No Cobrar")</f>
        <v>86347.9415</v>
      </c>
    </row>
    <row r="433" ht="15.75" hidden="1" customHeight="1">
      <c r="B433" s="45"/>
      <c r="C433" s="46"/>
      <c r="D433" s="46"/>
      <c r="E433" s="45"/>
      <c r="F433" s="45"/>
      <c r="G433" s="60"/>
      <c r="H433" s="60"/>
      <c r="I433" s="60"/>
    </row>
    <row r="434" ht="15.75" hidden="1" customHeight="1">
      <c r="A434" s="172" t="s">
        <v>373</v>
      </c>
      <c r="B434" s="173" t="s">
        <v>257</v>
      </c>
      <c r="C434" s="174" t="s">
        <v>317</v>
      </c>
      <c r="D434" s="175" t="s">
        <v>109</v>
      </c>
      <c r="E434" s="176" t="s">
        <v>232</v>
      </c>
      <c r="F434" s="177" t="s">
        <v>9</v>
      </c>
      <c r="G434" s="166" t="s">
        <v>233</v>
      </c>
      <c r="H434" s="166"/>
      <c r="I434" s="166"/>
    </row>
    <row r="435" ht="15.75" hidden="1" customHeight="1">
      <c r="A435" s="178" t="s">
        <v>374</v>
      </c>
      <c r="B435" s="179">
        <v>764052.0</v>
      </c>
      <c r="C435" s="180">
        <v>2000.0</v>
      </c>
      <c r="D435" s="181">
        <v>275.0</v>
      </c>
      <c r="E435" s="182">
        <f>D435*$C$416</f>
        <v>192500</v>
      </c>
      <c r="F435" s="179">
        <v>0.0</v>
      </c>
      <c r="G435" s="183">
        <f>SUM(B435:C435)*1.35</f>
        <v>1034170.2</v>
      </c>
      <c r="H435" s="183">
        <f>G435-E435</f>
        <v>841670.2</v>
      </c>
      <c r="I435" s="185">
        <f>IF(AND(OR(F435="",E435&lt;(SUM(B435:C435)*(1+$I$279))),H435&gt;=20000),H435,"No Cobrar")</f>
        <v>841670.2</v>
      </c>
    </row>
    <row r="436" ht="15.75" hidden="1" customHeight="1">
      <c r="B436" s="45"/>
      <c r="C436" s="46"/>
      <c r="D436" s="46"/>
      <c r="E436" s="45"/>
      <c r="F436" s="45"/>
      <c r="G436" s="60"/>
      <c r="H436" s="60"/>
      <c r="I436" s="60"/>
    </row>
    <row r="437" ht="15.75" hidden="1" customHeight="1">
      <c r="A437" s="172" t="s">
        <v>375</v>
      </c>
      <c r="B437" s="173" t="s">
        <v>257</v>
      </c>
      <c r="C437" s="174" t="s">
        <v>317</v>
      </c>
      <c r="D437" s="175" t="s">
        <v>109</v>
      </c>
      <c r="E437" s="176" t="s">
        <v>232</v>
      </c>
      <c r="F437" s="177" t="s">
        <v>9</v>
      </c>
      <c r="G437" s="166" t="s">
        <v>233</v>
      </c>
      <c r="H437" s="166"/>
      <c r="I437" s="166"/>
    </row>
    <row r="438" ht="15.75" hidden="1" customHeight="1">
      <c r="A438" s="186" t="s">
        <v>376</v>
      </c>
      <c r="B438" s="187">
        <v>146218.8</v>
      </c>
      <c r="C438" s="188">
        <v>2000.0</v>
      </c>
      <c r="D438" s="189">
        <v>152.0</v>
      </c>
      <c r="E438" s="190">
        <f>D438*$C$416</f>
        <v>106400</v>
      </c>
      <c r="F438" s="187">
        <v>505800.0</v>
      </c>
      <c r="G438" s="183">
        <f>SUM(B438:C438)*1.35</f>
        <v>200095.38</v>
      </c>
      <c r="H438" s="183">
        <f>G438-E438</f>
        <v>93695.38</v>
      </c>
      <c r="I438" s="185">
        <f>IF(AND(OR(F438="",E438&lt;(SUM(B438:C438)*(1+$I$279))),H438&gt;=20000),H438,"No Cobrar")</f>
        <v>93695.38</v>
      </c>
    </row>
    <row r="439" ht="15.75" hidden="1" customHeight="1">
      <c r="A439" s="140"/>
      <c r="B439" s="45"/>
      <c r="C439" s="46"/>
      <c r="D439" s="46"/>
      <c r="E439" s="45"/>
      <c r="F439" s="45"/>
      <c r="G439" s="191"/>
      <c r="H439" s="191"/>
      <c r="I439" s="191"/>
    </row>
    <row r="440" ht="15.75" hidden="1" customHeight="1">
      <c r="A440" s="192" t="s">
        <v>377</v>
      </c>
      <c r="B440" s="173" t="s">
        <v>257</v>
      </c>
      <c r="C440" s="174" t="s">
        <v>317</v>
      </c>
      <c r="D440" s="175" t="s">
        <v>109</v>
      </c>
      <c r="E440" s="176" t="s">
        <v>232</v>
      </c>
      <c r="F440" s="177" t="s">
        <v>9</v>
      </c>
      <c r="G440" s="166" t="s">
        <v>233</v>
      </c>
      <c r="H440" s="166"/>
      <c r="I440" s="166"/>
    </row>
    <row r="441" ht="15.75" hidden="1" customHeight="1">
      <c r="A441" s="193" t="s">
        <v>378</v>
      </c>
      <c r="B441" s="179">
        <v>540241.0</v>
      </c>
      <c r="C441" s="180">
        <v>2000.0</v>
      </c>
      <c r="D441" s="181">
        <v>410.0</v>
      </c>
      <c r="E441" s="182">
        <f t="shared" ref="E441:E442" si="86">D441*$C$416</f>
        <v>287000</v>
      </c>
      <c r="F441" s="179">
        <v>576050.0</v>
      </c>
      <c r="G441" s="183">
        <f t="shared" ref="G441:G442" si="87">SUM(B441:C441)*1.35</f>
        <v>732025.35</v>
      </c>
      <c r="H441" s="183">
        <f t="shared" ref="H441:H442" si="88">G441-E441</f>
        <v>445025.35</v>
      </c>
      <c r="I441" s="185">
        <f t="shared" ref="I441:I442" si="89">IF(AND(OR(F441="",E441&lt;(SUM(B441:C441)*(1+$I$279))),H441&gt;=20000),H441,"No Cobrar")</f>
        <v>445025.35</v>
      </c>
    </row>
    <row r="442" ht="15.75" hidden="1" customHeight="1">
      <c r="A442" s="167" t="s">
        <v>379</v>
      </c>
      <c r="B442" s="179">
        <v>242093.0</v>
      </c>
      <c r="C442" s="180">
        <v>2000.0</v>
      </c>
      <c r="D442" s="181">
        <v>90.0</v>
      </c>
      <c r="E442" s="182">
        <f t="shared" si="86"/>
        <v>63000</v>
      </c>
      <c r="F442" s="182"/>
      <c r="G442" s="183">
        <f t="shared" si="87"/>
        <v>329525.55</v>
      </c>
      <c r="H442" s="183">
        <f t="shared" si="88"/>
        <v>266525.55</v>
      </c>
      <c r="I442" s="185">
        <f t="shared" si="89"/>
        <v>266525.55</v>
      </c>
    </row>
    <row r="443" ht="15.75" hidden="1" customHeight="1">
      <c r="A443" s="140"/>
      <c r="B443" s="45"/>
      <c r="C443" s="46"/>
      <c r="D443" s="46"/>
      <c r="E443" s="45"/>
      <c r="F443" s="45"/>
      <c r="G443" s="191"/>
      <c r="H443" s="191"/>
      <c r="I443" s="191"/>
    </row>
    <row r="444" ht="15.75" hidden="1" customHeight="1">
      <c r="A444" s="172" t="s">
        <v>380</v>
      </c>
      <c r="B444" s="173" t="s">
        <v>257</v>
      </c>
      <c r="C444" s="174" t="s">
        <v>317</v>
      </c>
      <c r="D444" s="175" t="s">
        <v>109</v>
      </c>
      <c r="E444" s="176" t="s">
        <v>232</v>
      </c>
      <c r="F444" s="177" t="s">
        <v>9</v>
      </c>
      <c r="G444" s="166" t="s">
        <v>233</v>
      </c>
      <c r="H444" s="166"/>
      <c r="I444" s="166"/>
    </row>
    <row r="445" ht="15.75" hidden="1" customHeight="1">
      <c r="A445" s="140" t="s">
        <v>381</v>
      </c>
      <c r="B445" s="179">
        <v>45801.97</v>
      </c>
      <c r="C445" s="180">
        <v>2000.0</v>
      </c>
      <c r="D445" s="181">
        <v>45.0</v>
      </c>
      <c r="E445" s="182">
        <f>D445*$C$416</f>
        <v>31500</v>
      </c>
      <c r="F445" s="179">
        <v>63225.0</v>
      </c>
      <c r="G445" s="183">
        <f>SUM(B445:C445)*1.35</f>
        <v>64532.6595</v>
      </c>
      <c r="H445" s="183">
        <f>G445-E445</f>
        <v>33032.6595</v>
      </c>
      <c r="I445" s="185">
        <f>IF(AND(OR(F445="",E445&lt;(SUM(B445:C445)*(1+$I$279))),H445&gt;=20000),H445,"No Cobrar")</f>
        <v>33032.6595</v>
      </c>
    </row>
    <row r="446" ht="15.75" hidden="1" customHeight="1">
      <c r="A446" s="140"/>
      <c r="B446" s="45"/>
      <c r="C446" s="46"/>
      <c r="D446" s="46"/>
      <c r="E446" s="45"/>
      <c r="F446" s="45"/>
      <c r="G446" s="191"/>
      <c r="H446" s="191"/>
      <c r="I446" s="191"/>
    </row>
    <row r="447" ht="15.75" hidden="1" customHeight="1">
      <c r="A447" s="172" t="s">
        <v>382</v>
      </c>
      <c r="B447" s="173" t="s">
        <v>257</v>
      </c>
      <c r="C447" s="174" t="s">
        <v>317</v>
      </c>
      <c r="D447" s="175" t="s">
        <v>109</v>
      </c>
      <c r="E447" s="176" t="s">
        <v>232</v>
      </c>
      <c r="F447" s="177" t="s">
        <v>9</v>
      </c>
      <c r="G447" s="166" t="s">
        <v>233</v>
      </c>
      <c r="H447" s="166"/>
      <c r="I447" s="166"/>
    </row>
    <row r="448" ht="15.75" hidden="1" customHeight="1">
      <c r="A448" s="178" t="s">
        <v>383</v>
      </c>
      <c r="B448" s="179">
        <v>242093.0</v>
      </c>
      <c r="C448" s="180">
        <v>2000.0</v>
      </c>
      <c r="D448" s="181">
        <v>90.0</v>
      </c>
      <c r="E448" s="182">
        <f>D448*$C$416</f>
        <v>63000</v>
      </c>
      <c r="F448" s="182"/>
      <c r="G448" s="183">
        <f>SUM(B448:C448)*1.35</f>
        <v>329525.55</v>
      </c>
      <c r="H448" s="183">
        <f>G448-E448</f>
        <v>266525.55</v>
      </c>
      <c r="I448" s="185">
        <f>IF(AND(OR(F448="",E448&lt;(SUM(B448:C448)*(1+$I$279))),H448&gt;=20000),H448,"No Cobrar")</f>
        <v>266525.55</v>
      </c>
    </row>
    <row r="449" ht="15.75" hidden="1" customHeight="1">
      <c r="A449" s="140"/>
      <c r="B449" s="45"/>
      <c r="C449" s="46"/>
      <c r="D449" s="46"/>
      <c r="E449" s="45"/>
      <c r="F449" s="45"/>
      <c r="G449" s="191"/>
      <c r="H449" s="191"/>
      <c r="I449" s="191"/>
    </row>
    <row r="450" ht="15.75" hidden="1" customHeight="1">
      <c r="A450" s="172" t="s">
        <v>384</v>
      </c>
      <c r="B450" s="173" t="s">
        <v>257</v>
      </c>
      <c r="C450" s="174" t="s">
        <v>317</v>
      </c>
      <c r="D450" s="175" t="s">
        <v>109</v>
      </c>
      <c r="E450" s="176" t="s">
        <v>232</v>
      </c>
      <c r="F450" s="177" t="s">
        <v>9</v>
      </c>
      <c r="G450" s="166" t="s">
        <v>233</v>
      </c>
      <c r="H450" s="166"/>
      <c r="I450" s="166"/>
    </row>
    <row r="451" ht="15.75" hidden="1" customHeight="1">
      <c r="A451" s="178" t="s">
        <v>385</v>
      </c>
      <c r="B451" s="179">
        <v>59150.84</v>
      </c>
      <c r="C451" s="180">
        <v>2000.0</v>
      </c>
      <c r="D451" s="181">
        <v>50.0</v>
      </c>
      <c r="E451" s="182">
        <f>D451*$C$416</f>
        <v>35000</v>
      </c>
      <c r="F451" s="179">
        <v>70250.0</v>
      </c>
      <c r="G451" s="183">
        <f>SUM(B451:C451)*1.35</f>
        <v>82553.634</v>
      </c>
      <c r="H451" s="183">
        <f>G451-E451</f>
        <v>47553.634</v>
      </c>
      <c r="I451" s="185">
        <f>IF(AND(OR(F451="",E451&lt;(SUM(B451:C451)*(1+$I$279))),H451&gt;=20000),H451,"No Cobrar")</f>
        <v>47553.634</v>
      </c>
    </row>
    <row r="452" ht="15.75" hidden="1" customHeight="1">
      <c r="A452" s="140"/>
      <c r="B452" s="45"/>
      <c r="C452" s="46"/>
      <c r="D452" s="46"/>
      <c r="E452" s="45"/>
      <c r="F452" s="45"/>
      <c r="G452" s="191"/>
      <c r="H452" s="191"/>
      <c r="I452" s="191"/>
    </row>
    <row r="453" ht="15.75" hidden="1" customHeight="1">
      <c r="A453" s="172" t="s">
        <v>386</v>
      </c>
      <c r="B453" s="173" t="s">
        <v>257</v>
      </c>
      <c r="C453" s="174" t="s">
        <v>317</v>
      </c>
      <c r="D453" s="175" t="s">
        <v>109</v>
      </c>
      <c r="E453" s="176" t="s">
        <v>232</v>
      </c>
      <c r="F453" s="177" t="s">
        <v>9</v>
      </c>
      <c r="G453" s="166" t="s">
        <v>233</v>
      </c>
      <c r="H453" s="166"/>
      <c r="I453" s="166"/>
    </row>
    <row r="454" ht="15.75" hidden="1" customHeight="1">
      <c r="A454" s="178" t="s">
        <v>307</v>
      </c>
      <c r="B454" s="179">
        <v>59150.84</v>
      </c>
      <c r="C454" s="180">
        <v>2000.0</v>
      </c>
      <c r="D454" s="181">
        <v>50.0</v>
      </c>
      <c r="E454" s="182">
        <f t="shared" ref="E454:E456" si="90">D454*$C$416</f>
        <v>35000</v>
      </c>
      <c r="F454" s="179">
        <v>70250.0</v>
      </c>
      <c r="G454" s="183">
        <f t="shared" ref="G454:G456" si="91">SUM(B454:C454)*1.35</f>
        <v>82553.634</v>
      </c>
      <c r="H454" s="183">
        <f t="shared" ref="H454:H456" si="92">G454-E454</f>
        <v>47553.634</v>
      </c>
      <c r="I454" s="185">
        <f t="shared" ref="I454:I456" si="93">IF(AND(OR(F454="",E454&lt;(SUM(B454:C454)*(1+$I$279))),H454&gt;=20000),H454,"No Cobrar")</f>
        <v>47553.634</v>
      </c>
    </row>
    <row r="455" ht="15.75" hidden="1" customHeight="1">
      <c r="A455" s="140" t="s">
        <v>334</v>
      </c>
      <c r="B455" s="179">
        <v>59150.84</v>
      </c>
      <c r="C455" s="180">
        <v>2000.0</v>
      </c>
      <c r="D455" s="181">
        <v>50.0</v>
      </c>
      <c r="E455" s="182">
        <f t="shared" si="90"/>
        <v>35000</v>
      </c>
      <c r="F455" s="179">
        <v>70250.0</v>
      </c>
      <c r="G455" s="183">
        <f t="shared" si="91"/>
        <v>82553.634</v>
      </c>
      <c r="H455" s="183">
        <f t="shared" si="92"/>
        <v>47553.634</v>
      </c>
      <c r="I455" s="185">
        <f t="shared" si="93"/>
        <v>47553.634</v>
      </c>
    </row>
    <row r="456" ht="15.75" hidden="1" customHeight="1">
      <c r="A456" s="140" t="s">
        <v>387</v>
      </c>
      <c r="B456" s="179">
        <v>207437.85</v>
      </c>
      <c r="C456" s="180">
        <v>2000.0</v>
      </c>
      <c r="D456" s="181">
        <v>130.0</v>
      </c>
      <c r="E456" s="182">
        <f t="shared" si="90"/>
        <v>91000</v>
      </c>
      <c r="F456" s="179">
        <v>182650.0</v>
      </c>
      <c r="G456" s="183">
        <f t="shared" si="91"/>
        <v>282741.0975</v>
      </c>
      <c r="H456" s="183">
        <f t="shared" si="92"/>
        <v>191741.0975</v>
      </c>
      <c r="I456" s="185">
        <f t="shared" si="93"/>
        <v>191741.0975</v>
      </c>
    </row>
    <row r="457" ht="15.75" hidden="1" customHeight="1">
      <c r="A457" s="140"/>
      <c r="B457" s="45"/>
      <c r="C457" s="46"/>
      <c r="D457" s="46"/>
      <c r="E457" s="45"/>
      <c r="F457" s="45"/>
      <c r="G457" s="191"/>
      <c r="H457" s="191"/>
      <c r="I457" s="191"/>
    </row>
    <row r="458" ht="15.75" hidden="1" customHeight="1">
      <c r="A458" s="172" t="s">
        <v>388</v>
      </c>
      <c r="B458" s="173" t="s">
        <v>257</v>
      </c>
      <c r="C458" s="174" t="s">
        <v>317</v>
      </c>
      <c r="D458" s="175" t="s">
        <v>109</v>
      </c>
      <c r="E458" s="176" t="s">
        <v>232</v>
      </c>
      <c r="F458" s="177" t="s">
        <v>9</v>
      </c>
      <c r="G458" s="166" t="s">
        <v>233</v>
      </c>
      <c r="H458" s="166"/>
      <c r="I458" s="166"/>
    </row>
    <row r="459" ht="15.75" hidden="1" customHeight="1">
      <c r="A459" s="178" t="s">
        <v>301</v>
      </c>
      <c r="B459" s="179">
        <v>1259832.0</v>
      </c>
      <c r="C459" s="180">
        <v>2000.0</v>
      </c>
      <c r="D459" s="181">
        <v>300.0</v>
      </c>
      <c r="E459" s="182">
        <f>D459*$C$416</f>
        <v>210000</v>
      </c>
      <c r="F459" s="182"/>
      <c r="G459" s="183">
        <f>SUM(B459:C459)*1.35</f>
        <v>1703473.2</v>
      </c>
      <c r="H459" s="183">
        <f>G459-E459</f>
        <v>1493473.2</v>
      </c>
      <c r="I459" s="185">
        <f>IF(AND(OR(F459="",E459&lt;(SUM(B459:C459)*(1+$I$279))),H459&gt;=20000),H459,"No Cobrar")</f>
        <v>1493473.2</v>
      </c>
    </row>
    <row r="460" ht="15.75" hidden="1" customHeight="1">
      <c r="A460" s="140"/>
      <c r="B460" s="45"/>
      <c r="C460" s="46"/>
      <c r="D460" s="46"/>
      <c r="E460" s="45"/>
      <c r="F460" s="45"/>
      <c r="G460" s="191"/>
      <c r="H460" s="191"/>
      <c r="I460" s="191"/>
    </row>
    <row r="461" ht="15.75" hidden="1" customHeight="1">
      <c r="A461" s="140"/>
      <c r="B461" s="45"/>
      <c r="C461" s="46"/>
      <c r="D461" s="46"/>
      <c r="E461" s="45"/>
      <c r="F461" s="45"/>
      <c r="G461" s="191"/>
      <c r="H461" s="191"/>
      <c r="I461" s="191"/>
    </row>
    <row r="462" ht="15.75" hidden="1" customHeight="1">
      <c r="A462" s="194" t="s">
        <v>389</v>
      </c>
      <c r="B462" s="162" t="s">
        <v>112</v>
      </c>
      <c r="C462" s="163">
        <v>768.0</v>
      </c>
      <c r="D462" s="46"/>
      <c r="E462" s="45"/>
      <c r="F462" s="45"/>
      <c r="G462" s="191"/>
      <c r="H462" s="191"/>
      <c r="I462" s="191"/>
    </row>
    <row r="463" ht="15.75" hidden="1" customHeight="1">
      <c r="A463" s="178"/>
      <c r="B463" s="179"/>
      <c r="C463" s="180"/>
      <c r="D463" s="181"/>
      <c r="E463" s="182"/>
      <c r="F463" s="179"/>
      <c r="G463" s="183"/>
      <c r="H463" s="183"/>
      <c r="I463" s="185"/>
    </row>
    <row r="464" ht="15.75" hidden="1" customHeight="1">
      <c r="A464" s="172" t="s">
        <v>390</v>
      </c>
      <c r="B464" s="173" t="s">
        <v>257</v>
      </c>
      <c r="C464" s="174" t="s">
        <v>317</v>
      </c>
      <c r="D464" s="175" t="s">
        <v>109</v>
      </c>
      <c r="E464" s="176" t="s">
        <v>232</v>
      </c>
      <c r="F464" s="177" t="s">
        <v>9</v>
      </c>
      <c r="G464" s="166" t="s">
        <v>233</v>
      </c>
      <c r="H464" s="166"/>
      <c r="I464" s="166"/>
    </row>
    <row r="465" ht="15.75" hidden="1" customHeight="1">
      <c r="A465" s="140" t="s">
        <v>307</v>
      </c>
      <c r="B465" s="179">
        <v>59150.84</v>
      </c>
      <c r="C465" s="180">
        <v>2000.0</v>
      </c>
      <c r="D465" s="181">
        <v>50.0</v>
      </c>
      <c r="E465" s="182">
        <f>D465*$C$462</f>
        <v>38400</v>
      </c>
      <c r="F465" s="179">
        <v>70250.0</v>
      </c>
      <c r="G465" s="183">
        <f>SUM(B465:C465)*1.35</f>
        <v>82553.634</v>
      </c>
      <c r="H465" s="183">
        <f>G465-E465</f>
        <v>44153.634</v>
      </c>
      <c r="I465" s="185">
        <f>IF(AND(OR(F465="",E465&lt;(SUM(B465:C465)*(1+$I$279))),H465&gt;=20000),H465,"No Cobrar")</f>
        <v>44153.634</v>
      </c>
    </row>
    <row r="466" ht="15.75" hidden="1" customHeight="1">
      <c r="A466" s="140"/>
      <c r="B466" s="45"/>
      <c r="C466" s="46"/>
      <c r="D466" s="46"/>
      <c r="E466" s="45"/>
      <c r="F466" s="45"/>
      <c r="G466" s="191"/>
      <c r="H466" s="191"/>
      <c r="I466" s="191"/>
    </row>
    <row r="467" ht="15.75" hidden="1" customHeight="1">
      <c r="A467" s="172" t="s">
        <v>391</v>
      </c>
      <c r="B467" s="173" t="s">
        <v>257</v>
      </c>
      <c r="C467" s="174" t="s">
        <v>317</v>
      </c>
      <c r="D467" s="175" t="s">
        <v>109</v>
      </c>
      <c r="E467" s="176" t="s">
        <v>232</v>
      </c>
      <c r="F467" s="177" t="s">
        <v>9</v>
      </c>
      <c r="G467" s="166" t="s">
        <v>233</v>
      </c>
      <c r="H467" s="166"/>
      <c r="I467" s="166"/>
    </row>
    <row r="468" ht="15.75" hidden="1" customHeight="1">
      <c r="A468" s="140" t="s">
        <v>392</v>
      </c>
      <c r="B468" s="179">
        <v>146218.0</v>
      </c>
      <c r="C468" s="180">
        <v>2000.0</v>
      </c>
      <c r="D468" s="181">
        <v>152.0</v>
      </c>
      <c r="E468" s="182">
        <f>D468*$C$462</f>
        <v>116736</v>
      </c>
      <c r="F468" s="179">
        <v>505800.0</v>
      </c>
      <c r="G468" s="183">
        <f>SUM(B468:C468)*1.35</f>
        <v>200094.3</v>
      </c>
      <c r="H468" s="183">
        <f>G468-E468</f>
        <v>83358.3</v>
      </c>
      <c r="I468" s="185">
        <f>IF(AND(OR(F468="",E468&lt;(SUM(B468:C468)*(1+$I$279))),H468&gt;=20000),H468,"No Cobrar")</f>
        <v>83358.3</v>
      </c>
    </row>
    <row r="469" ht="15.75" hidden="1" customHeight="1">
      <c r="A469" s="140"/>
      <c r="B469" s="45"/>
      <c r="C469" s="46"/>
      <c r="D469" s="46"/>
      <c r="E469" s="45"/>
      <c r="F469" s="45"/>
      <c r="G469" s="191"/>
      <c r="H469" s="191"/>
      <c r="I469" s="191"/>
    </row>
    <row r="470" ht="15.75" hidden="1" customHeight="1">
      <c r="A470" s="172" t="s">
        <v>393</v>
      </c>
      <c r="B470" s="173" t="s">
        <v>257</v>
      </c>
      <c r="C470" s="174" t="s">
        <v>317</v>
      </c>
      <c r="D470" s="175" t="s">
        <v>109</v>
      </c>
      <c r="E470" s="176" t="s">
        <v>232</v>
      </c>
      <c r="F470" s="177" t="s">
        <v>9</v>
      </c>
      <c r="G470" s="166" t="s">
        <v>233</v>
      </c>
      <c r="H470" s="166"/>
      <c r="I470" s="166"/>
    </row>
    <row r="471" ht="15.75" hidden="1" customHeight="1">
      <c r="A471" s="178" t="s">
        <v>392</v>
      </c>
      <c r="B471" s="179">
        <v>146218.0</v>
      </c>
      <c r="C471" s="180">
        <v>2000.0</v>
      </c>
      <c r="D471" s="181">
        <v>152.0</v>
      </c>
      <c r="E471" s="182">
        <f>D471*$C$462</f>
        <v>116736</v>
      </c>
      <c r="F471" s="179">
        <v>505800.0</v>
      </c>
      <c r="G471" s="183">
        <f>SUM(B471:C471)*1.35</f>
        <v>200094.3</v>
      </c>
      <c r="H471" s="183">
        <f>G471-E471</f>
        <v>83358.3</v>
      </c>
      <c r="I471" s="185">
        <f>IF(AND(OR(F471="",E471&lt;(SUM(B471:C471)*(1+$I$279))),H471&gt;=20000),H471,"No Cobrar")</f>
        <v>83358.3</v>
      </c>
    </row>
    <row r="472" ht="15.75" hidden="1" customHeight="1">
      <c r="A472" s="140"/>
      <c r="B472" s="45"/>
      <c r="C472" s="46"/>
      <c r="D472" s="46"/>
      <c r="E472" s="45"/>
      <c r="F472" s="45"/>
      <c r="G472" s="191"/>
      <c r="H472" s="191"/>
      <c r="I472" s="191"/>
    </row>
    <row r="473" ht="15.75" hidden="1" customHeight="1">
      <c r="A473" s="172" t="s">
        <v>394</v>
      </c>
      <c r="B473" s="173" t="s">
        <v>257</v>
      </c>
      <c r="C473" s="174" t="s">
        <v>317</v>
      </c>
      <c r="D473" s="175" t="s">
        <v>109</v>
      </c>
      <c r="E473" s="176" t="s">
        <v>232</v>
      </c>
      <c r="F473" s="177" t="s">
        <v>9</v>
      </c>
      <c r="G473" s="166" t="s">
        <v>233</v>
      </c>
      <c r="H473" s="166"/>
      <c r="I473" s="166"/>
    </row>
    <row r="474" ht="15.75" hidden="1" customHeight="1">
      <c r="A474" s="140" t="s">
        <v>395</v>
      </c>
      <c r="B474" s="179">
        <v>26374.74</v>
      </c>
      <c r="C474" s="180">
        <v>2000.0</v>
      </c>
      <c r="D474" s="181">
        <v>10.0</v>
      </c>
      <c r="E474" s="182">
        <f>D474*$C$462</f>
        <v>7680</v>
      </c>
      <c r="F474" s="179">
        <v>14050.0</v>
      </c>
      <c r="G474" s="183">
        <f>SUM(B474:C474)*1.35</f>
        <v>38305.899</v>
      </c>
      <c r="H474" s="183">
        <f>G474-E474</f>
        <v>30625.899</v>
      </c>
      <c r="I474" s="185">
        <f>IF(AND(OR(F474="",E474&lt;(SUM(B474:C474)*(1+$I$279))),H474&gt;=20000),H474,"No Cobrar")</f>
        <v>30625.899</v>
      </c>
    </row>
    <row r="475" ht="15.75" hidden="1" customHeight="1">
      <c r="A475" s="195"/>
      <c r="B475" s="196"/>
      <c r="C475" s="197"/>
      <c r="D475" s="197"/>
      <c r="E475" s="196"/>
      <c r="F475" s="196"/>
      <c r="G475" s="166"/>
      <c r="H475" s="166"/>
      <c r="I475" s="166"/>
    </row>
    <row r="476" ht="15.75" hidden="1" customHeight="1">
      <c r="A476" s="172" t="s">
        <v>396</v>
      </c>
      <c r="B476" s="173" t="s">
        <v>257</v>
      </c>
      <c r="C476" s="174" t="s">
        <v>317</v>
      </c>
      <c r="D476" s="175" t="s">
        <v>109</v>
      </c>
      <c r="E476" s="176" t="s">
        <v>232</v>
      </c>
      <c r="F476" s="177" t="s">
        <v>9</v>
      </c>
      <c r="G476" s="166" t="s">
        <v>233</v>
      </c>
      <c r="H476" s="166"/>
      <c r="I476" s="166"/>
    </row>
    <row r="477" ht="15.75" hidden="1" customHeight="1">
      <c r="A477" s="178" t="s">
        <v>397</v>
      </c>
      <c r="B477" s="179">
        <v>207437.85</v>
      </c>
      <c r="C477" s="180">
        <v>2000.0</v>
      </c>
      <c r="D477" s="181">
        <v>130.0</v>
      </c>
      <c r="E477" s="182">
        <f t="shared" ref="E477:E478" si="94">D477*$C$462</f>
        <v>99840</v>
      </c>
      <c r="F477" s="179">
        <v>182650.0</v>
      </c>
      <c r="G477" s="183">
        <f t="shared" ref="G477:G478" si="95">SUM(B477:C477)*1.35</f>
        <v>282741.0975</v>
      </c>
      <c r="H477" s="183">
        <f t="shared" ref="H477:H478" si="96">G477-E477</f>
        <v>182901.0975</v>
      </c>
      <c r="I477" s="185">
        <f t="shared" ref="I477:I478" si="97">IF(AND(OR(F477="",E477&lt;(SUM(B477:C477)*(1+$I$279))),H477&gt;=20000),H477,"No Cobrar")</f>
        <v>182901.0975</v>
      </c>
    </row>
    <row r="478" ht="15.75" hidden="1" customHeight="1">
      <c r="A478" s="198" t="s">
        <v>398</v>
      </c>
      <c r="B478" s="179">
        <v>207437.85</v>
      </c>
      <c r="C478" s="180">
        <v>2000.0</v>
      </c>
      <c r="D478" s="181">
        <v>130.0</v>
      </c>
      <c r="E478" s="182">
        <f t="shared" si="94"/>
        <v>99840</v>
      </c>
      <c r="F478" s="179">
        <v>182650.0</v>
      </c>
      <c r="G478" s="183">
        <f t="shared" si="95"/>
        <v>282741.0975</v>
      </c>
      <c r="H478" s="183">
        <f t="shared" si="96"/>
        <v>182901.0975</v>
      </c>
      <c r="I478" s="185">
        <f t="shared" si="97"/>
        <v>182901.0975</v>
      </c>
    </row>
    <row r="479" ht="15.75" hidden="1" customHeight="1">
      <c r="A479" s="140"/>
      <c r="B479" s="45"/>
      <c r="C479" s="46"/>
      <c r="D479" s="46"/>
      <c r="E479" s="45"/>
      <c r="F479" s="45"/>
      <c r="G479" s="191"/>
      <c r="H479" s="191"/>
      <c r="I479" s="191"/>
    </row>
    <row r="480" ht="15.75" hidden="1" customHeight="1">
      <c r="A480" s="172" t="s">
        <v>399</v>
      </c>
      <c r="B480" s="173" t="s">
        <v>257</v>
      </c>
      <c r="C480" s="174" t="s">
        <v>317</v>
      </c>
      <c r="D480" s="175" t="s">
        <v>109</v>
      </c>
      <c r="E480" s="176" t="s">
        <v>232</v>
      </c>
      <c r="F480" s="177" t="s">
        <v>9</v>
      </c>
      <c r="G480" s="166" t="s">
        <v>233</v>
      </c>
      <c r="H480" s="166"/>
      <c r="I480" s="166"/>
    </row>
    <row r="481" ht="15.75" hidden="1" customHeight="1">
      <c r="A481" s="178" t="s">
        <v>392</v>
      </c>
      <c r="B481" s="179">
        <v>146218.0</v>
      </c>
      <c r="C481" s="180">
        <v>2000.0</v>
      </c>
      <c r="D481" s="181">
        <v>152.0</v>
      </c>
      <c r="E481" s="182">
        <f>D481*$C$462</f>
        <v>116736</v>
      </c>
      <c r="F481" s="179">
        <v>505800.0</v>
      </c>
      <c r="G481" s="183">
        <f>SUM(B481:C481)*1.35</f>
        <v>200094.3</v>
      </c>
      <c r="H481" s="183">
        <f>G481-E481</f>
        <v>83358.3</v>
      </c>
      <c r="I481" s="185">
        <f>IF(AND(OR(F481="",E481&lt;(SUM(B481:C481)*(1+$I$279))),H481&gt;=20000),H481,"No Cobrar")</f>
        <v>83358.3</v>
      </c>
    </row>
    <row r="482" ht="15.75" hidden="1" customHeight="1">
      <c r="A482" s="140"/>
      <c r="B482" s="45"/>
      <c r="C482" s="46"/>
      <c r="D482" s="46"/>
      <c r="E482" s="45"/>
      <c r="F482" s="45"/>
      <c r="G482" s="191"/>
      <c r="H482" s="191"/>
      <c r="I482" s="191"/>
    </row>
    <row r="483" ht="15.75" hidden="1" customHeight="1">
      <c r="A483" s="172" t="s">
        <v>400</v>
      </c>
      <c r="B483" s="173" t="s">
        <v>257</v>
      </c>
      <c r="C483" s="174" t="s">
        <v>317</v>
      </c>
      <c r="D483" s="175" t="s">
        <v>109</v>
      </c>
      <c r="E483" s="176" t="s">
        <v>232</v>
      </c>
      <c r="F483" s="177" t="s">
        <v>9</v>
      </c>
      <c r="G483" s="166" t="s">
        <v>233</v>
      </c>
      <c r="H483" s="166"/>
      <c r="I483" s="166"/>
    </row>
    <row r="484" ht="15.75" hidden="1" customHeight="1">
      <c r="A484" s="178" t="s">
        <v>401</v>
      </c>
      <c r="B484" s="179">
        <v>80433.0</v>
      </c>
      <c r="C484" s="180">
        <v>2000.0</v>
      </c>
      <c r="D484" s="181">
        <v>40.0</v>
      </c>
      <c r="E484" s="182">
        <f t="shared" ref="E484:E486" si="98">D484*$C$462</f>
        <v>30720</v>
      </c>
      <c r="F484" s="179">
        <v>56200.0</v>
      </c>
      <c r="G484" s="183">
        <f t="shared" ref="G484:G486" si="99">SUM(B484:C484)*1.35</f>
        <v>111284.55</v>
      </c>
      <c r="H484" s="183">
        <f t="shared" ref="H484:H486" si="100">G484-E484</f>
        <v>80564.55</v>
      </c>
      <c r="I484" s="185">
        <f t="shared" ref="I484:I486" si="101">IF(AND(OR(F484="",E484&lt;(SUM(B484:C484)*(1+$I$279))),H484&gt;=20000),H484,"No Cobrar")</f>
        <v>80564.55</v>
      </c>
    </row>
    <row r="485" ht="15.75" hidden="1" customHeight="1">
      <c r="A485" s="140" t="s">
        <v>307</v>
      </c>
      <c r="B485" s="179">
        <v>59150.84</v>
      </c>
      <c r="C485" s="180">
        <v>2000.0</v>
      </c>
      <c r="D485" s="181">
        <v>50.0</v>
      </c>
      <c r="E485" s="182">
        <f t="shared" si="98"/>
        <v>38400</v>
      </c>
      <c r="F485" s="179">
        <v>70250.0</v>
      </c>
      <c r="G485" s="183">
        <f t="shared" si="99"/>
        <v>82553.634</v>
      </c>
      <c r="H485" s="183">
        <f t="shared" si="100"/>
        <v>44153.634</v>
      </c>
      <c r="I485" s="185">
        <f t="shared" si="101"/>
        <v>44153.634</v>
      </c>
    </row>
    <row r="486" ht="15.75" hidden="1" customHeight="1">
      <c r="A486" s="140" t="s">
        <v>402</v>
      </c>
      <c r="B486" s="179">
        <v>59150.84</v>
      </c>
      <c r="C486" s="180">
        <v>2000.0</v>
      </c>
      <c r="D486" s="181">
        <v>50.0</v>
      </c>
      <c r="E486" s="182">
        <f t="shared" si="98"/>
        <v>38400</v>
      </c>
      <c r="F486" s="179">
        <v>70250.0</v>
      </c>
      <c r="G486" s="183">
        <f t="shared" si="99"/>
        <v>82553.634</v>
      </c>
      <c r="H486" s="183">
        <f t="shared" si="100"/>
        <v>44153.634</v>
      </c>
      <c r="I486" s="185">
        <f t="shared" si="101"/>
        <v>44153.634</v>
      </c>
    </row>
    <row r="487" ht="15.75" hidden="1" customHeight="1">
      <c r="A487" s="140"/>
      <c r="B487" s="45"/>
      <c r="C487" s="46"/>
      <c r="D487" s="46"/>
      <c r="E487" s="45"/>
      <c r="F487" s="45"/>
      <c r="G487" s="191"/>
      <c r="H487" s="191"/>
      <c r="I487" s="191"/>
    </row>
    <row r="488" ht="15.75" hidden="1" customHeight="1">
      <c r="A488" s="172" t="s">
        <v>403</v>
      </c>
      <c r="B488" s="173" t="s">
        <v>257</v>
      </c>
      <c r="C488" s="174" t="s">
        <v>317</v>
      </c>
      <c r="D488" s="175" t="s">
        <v>109</v>
      </c>
      <c r="E488" s="176" t="s">
        <v>232</v>
      </c>
      <c r="F488" s="177" t="s">
        <v>9</v>
      </c>
      <c r="G488" s="166" t="s">
        <v>233</v>
      </c>
      <c r="H488" s="166"/>
      <c r="I488" s="166"/>
    </row>
    <row r="489" ht="15.75" hidden="1" customHeight="1">
      <c r="A489" s="140" t="s">
        <v>307</v>
      </c>
      <c r="B489" s="179">
        <v>59150.84</v>
      </c>
      <c r="C489" s="180">
        <v>2000.0</v>
      </c>
      <c r="D489" s="181">
        <v>50.0</v>
      </c>
      <c r="E489" s="182">
        <f t="shared" ref="E489:E490" si="102">D489*$C$462</f>
        <v>38400</v>
      </c>
      <c r="F489" s="179">
        <v>70250.0</v>
      </c>
      <c r="G489" s="183">
        <f t="shared" ref="G489:G490" si="103">SUM(B489:C489)*1.35</f>
        <v>82553.634</v>
      </c>
      <c r="H489" s="183">
        <f t="shared" ref="H489:H490" si="104">G489-E489</f>
        <v>44153.634</v>
      </c>
      <c r="I489" s="185">
        <f t="shared" ref="I489:I490" si="105">IF(AND(OR(F489="",E489&lt;(SUM(B489:C489)*(1+$I$279))),H489&gt;=20000),H489,"No Cobrar")</f>
        <v>44153.634</v>
      </c>
    </row>
    <row r="490" ht="15.75" hidden="1" customHeight="1">
      <c r="A490" s="140" t="s">
        <v>402</v>
      </c>
      <c r="B490" s="179">
        <v>59150.84</v>
      </c>
      <c r="C490" s="180">
        <v>2000.0</v>
      </c>
      <c r="D490" s="181">
        <v>50.0</v>
      </c>
      <c r="E490" s="182">
        <f t="shared" si="102"/>
        <v>38400</v>
      </c>
      <c r="F490" s="179">
        <v>70250.0</v>
      </c>
      <c r="G490" s="183">
        <f t="shared" si="103"/>
        <v>82553.634</v>
      </c>
      <c r="H490" s="183">
        <f t="shared" si="104"/>
        <v>44153.634</v>
      </c>
      <c r="I490" s="185">
        <f t="shared" si="105"/>
        <v>44153.634</v>
      </c>
    </row>
    <row r="491" ht="15.75" hidden="1" customHeight="1">
      <c r="A491" s="140"/>
      <c r="B491" s="45"/>
      <c r="C491" s="46"/>
      <c r="D491" s="46"/>
      <c r="E491" s="45"/>
      <c r="F491" s="45"/>
      <c r="G491" s="191"/>
      <c r="H491" s="191"/>
      <c r="I491" s="191"/>
    </row>
    <row r="492" ht="15.75" hidden="1" customHeight="1">
      <c r="A492" s="172" t="s">
        <v>404</v>
      </c>
      <c r="B492" s="173" t="s">
        <v>257</v>
      </c>
      <c r="C492" s="174" t="s">
        <v>317</v>
      </c>
      <c r="D492" s="175" t="s">
        <v>109</v>
      </c>
      <c r="E492" s="176" t="s">
        <v>232</v>
      </c>
      <c r="F492" s="177" t="s">
        <v>9</v>
      </c>
      <c r="G492" s="166" t="s">
        <v>233</v>
      </c>
      <c r="H492" s="166"/>
      <c r="I492" s="166"/>
    </row>
    <row r="493" ht="15.75" hidden="1" customHeight="1">
      <c r="A493" s="178" t="s">
        <v>401</v>
      </c>
      <c r="B493" s="179">
        <v>80433.0</v>
      </c>
      <c r="C493" s="180">
        <v>2000.0</v>
      </c>
      <c r="D493" s="181">
        <v>40.0</v>
      </c>
      <c r="E493" s="182">
        <f>D493*$C$462</f>
        <v>30720</v>
      </c>
      <c r="F493" s="179">
        <v>56200.0</v>
      </c>
      <c r="G493" s="183">
        <f>SUM(B493:C493)*1.35</f>
        <v>111284.55</v>
      </c>
      <c r="H493" s="183">
        <f>G493-E493</f>
        <v>80564.55</v>
      </c>
      <c r="I493" s="185">
        <f>IF(AND(OR(F493="",E493&lt;(SUM(B493:C493)*(1+$I$279))),H493&gt;=20000),H493,"No Cobrar")</f>
        <v>80564.55</v>
      </c>
    </row>
    <row r="494" ht="15.75" hidden="1" customHeight="1">
      <c r="A494" s="140"/>
      <c r="B494" s="45"/>
      <c r="C494" s="46"/>
      <c r="D494" s="46"/>
      <c r="E494" s="45"/>
      <c r="F494" s="45"/>
      <c r="G494" s="191"/>
      <c r="H494" s="191"/>
      <c r="I494" s="191"/>
    </row>
    <row r="495" ht="15.75" hidden="1" customHeight="1">
      <c r="A495" s="172" t="s">
        <v>405</v>
      </c>
      <c r="B495" s="173" t="s">
        <v>257</v>
      </c>
      <c r="C495" s="174" t="s">
        <v>317</v>
      </c>
      <c r="D495" s="175" t="s">
        <v>109</v>
      </c>
      <c r="E495" s="176" t="s">
        <v>232</v>
      </c>
      <c r="F495" s="177" t="s">
        <v>9</v>
      </c>
      <c r="G495" s="166" t="s">
        <v>233</v>
      </c>
      <c r="H495" s="166"/>
      <c r="I495" s="166"/>
    </row>
    <row r="496" ht="15.75" hidden="1" customHeight="1">
      <c r="A496" s="178" t="s">
        <v>402</v>
      </c>
      <c r="B496" s="179">
        <v>59150.84</v>
      </c>
      <c r="C496" s="180">
        <v>2000.0</v>
      </c>
      <c r="D496" s="181">
        <v>50.0</v>
      </c>
      <c r="E496" s="182">
        <f t="shared" ref="E496:E498" si="106">D496*$C$462</f>
        <v>38400</v>
      </c>
      <c r="F496" s="179">
        <v>70250.0</v>
      </c>
      <c r="G496" s="183">
        <f t="shared" ref="G496:G498" si="107">SUM(B496:C496)*1.35</f>
        <v>82553.634</v>
      </c>
      <c r="H496" s="183">
        <f t="shared" ref="H496:H498" si="108">G496-E496</f>
        <v>44153.634</v>
      </c>
      <c r="I496" s="185">
        <f t="shared" ref="I496:I498" si="109">IF(AND(OR(F496="",E496&lt;(SUM(B496:C496)*(1+$I$279))),H496&gt;=20000),H496,"No Cobrar")</f>
        <v>44153.634</v>
      </c>
    </row>
    <row r="497" ht="15.75" hidden="1" customHeight="1">
      <c r="A497" s="140" t="s">
        <v>397</v>
      </c>
      <c r="B497" s="179">
        <v>207437.85</v>
      </c>
      <c r="C497" s="180">
        <v>2000.0</v>
      </c>
      <c r="D497" s="181">
        <v>130.0</v>
      </c>
      <c r="E497" s="182">
        <f t="shared" si="106"/>
        <v>99840</v>
      </c>
      <c r="F497" s="179">
        <v>182650.0</v>
      </c>
      <c r="G497" s="183">
        <f t="shared" si="107"/>
        <v>282741.0975</v>
      </c>
      <c r="H497" s="183">
        <f t="shared" si="108"/>
        <v>182901.0975</v>
      </c>
      <c r="I497" s="185">
        <f t="shared" si="109"/>
        <v>182901.0975</v>
      </c>
    </row>
    <row r="498" ht="15.75" hidden="1" customHeight="1">
      <c r="A498" s="198" t="s">
        <v>406</v>
      </c>
      <c r="B498" s="179">
        <v>207437.85</v>
      </c>
      <c r="C498" s="180">
        <v>2000.0</v>
      </c>
      <c r="D498" s="181">
        <v>130.0</v>
      </c>
      <c r="E498" s="182">
        <f t="shared" si="106"/>
        <v>99840</v>
      </c>
      <c r="F498" s="179">
        <v>182650.0</v>
      </c>
      <c r="G498" s="183">
        <f t="shared" si="107"/>
        <v>282741.0975</v>
      </c>
      <c r="H498" s="183">
        <f t="shared" si="108"/>
        <v>182901.0975</v>
      </c>
      <c r="I498" s="185">
        <f t="shared" si="109"/>
        <v>182901.0975</v>
      </c>
    </row>
    <row r="499" ht="15.75" hidden="1" customHeight="1">
      <c r="A499" s="140"/>
      <c r="B499" s="45"/>
      <c r="C499" s="46"/>
      <c r="D499" s="46"/>
      <c r="E499" s="45"/>
      <c r="F499" s="45"/>
      <c r="G499" s="191"/>
      <c r="H499" s="191"/>
      <c r="I499" s="191"/>
    </row>
    <row r="500" ht="15.75" hidden="1" customHeight="1">
      <c r="A500" s="172" t="s">
        <v>407</v>
      </c>
      <c r="B500" s="173" t="s">
        <v>257</v>
      </c>
      <c r="C500" s="174" t="s">
        <v>317</v>
      </c>
      <c r="D500" s="175" t="s">
        <v>109</v>
      </c>
      <c r="E500" s="176" t="s">
        <v>232</v>
      </c>
      <c r="F500" s="177" t="s">
        <v>9</v>
      </c>
      <c r="G500" s="166" t="s">
        <v>233</v>
      </c>
      <c r="H500" s="166"/>
      <c r="I500" s="166"/>
    </row>
    <row r="501" ht="15.75" hidden="1" customHeight="1">
      <c r="A501" s="178" t="s">
        <v>307</v>
      </c>
      <c r="B501" s="179">
        <v>59150.84</v>
      </c>
      <c r="C501" s="180">
        <v>2000.0</v>
      </c>
      <c r="D501" s="181">
        <v>50.0</v>
      </c>
      <c r="E501" s="182">
        <f t="shared" ref="E501:E502" si="110">D501*$C$462</f>
        <v>38400</v>
      </c>
      <c r="F501" s="179">
        <v>70250.0</v>
      </c>
      <c r="G501" s="183">
        <f t="shared" ref="G501:G502" si="111">SUM(B501:C501)*1.35</f>
        <v>82553.634</v>
      </c>
      <c r="H501" s="183">
        <f t="shared" ref="H501:H502" si="112">G501-E501</f>
        <v>44153.634</v>
      </c>
      <c r="I501" s="185">
        <f t="shared" ref="I501:I502" si="113">IF(AND(OR(F501="",E501&lt;(SUM(B501:C501)*(1+$I$279))),H501&gt;=20000),H501,"No Cobrar")</f>
        <v>44153.634</v>
      </c>
    </row>
    <row r="502" ht="15.75" hidden="1" customHeight="1">
      <c r="A502" s="140" t="s">
        <v>402</v>
      </c>
      <c r="B502" s="179">
        <v>59150.84</v>
      </c>
      <c r="C502" s="180">
        <v>2000.0</v>
      </c>
      <c r="D502" s="181">
        <v>50.0</v>
      </c>
      <c r="E502" s="182">
        <f t="shared" si="110"/>
        <v>38400</v>
      </c>
      <c r="F502" s="179">
        <v>70250.0</v>
      </c>
      <c r="G502" s="183">
        <f t="shared" si="111"/>
        <v>82553.634</v>
      </c>
      <c r="H502" s="183">
        <f t="shared" si="112"/>
        <v>44153.634</v>
      </c>
      <c r="I502" s="185">
        <f t="shared" si="113"/>
        <v>44153.634</v>
      </c>
    </row>
    <row r="503" ht="15.75" hidden="1" customHeight="1">
      <c r="A503" s="140"/>
      <c r="B503" s="45"/>
      <c r="C503" s="46"/>
      <c r="D503" s="46"/>
      <c r="E503" s="45"/>
      <c r="F503" s="45"/>
      <c r="G503" s="191"/>
      <c r="H503" s="191"/>
      <c r="I503" s="191"/>
    </row>
    <row r="504" ht="15.75" hidden="1" customHeight="1">
      <c r="A504" s="172" t="s">
        <v>408</v>
      </c>
      <c r="B504" s="173" t="s">
        <v>257</v>
      </c>
      <c r="C504" s="174" t="s">
        <v>317</v>
      </c>
      <c r="D504" s="175" t="s">
        <v>109</v>
      </c>
      <c r="E504" s="176" t="s">
        <v>232</v>
      </c>
      <c r="F504" s="177" t="s">
        <v>9</v>
      </c>
      <c r="G504" s="166" t="s">
        <v>233</v>
      </c>
      <c r="H504" s="166"/>
      <c r="I504" s="166"/>
    </row>
    <row r="505" ht="15.75" hidden="1" customHeight="1">
      <c r="A505" s="178" t="s">
        <v>409</v>
      </c>
      <c r="B505" s="179">
        <v>242093.0</v>
      </c>
      <c r="C505" s="180">
        <v>2000.0</v>
      </c>
      <c r="D505" s="181"/>
      <c r="E505" s="182">
        <f>D505*$C$462</f>
        <v>0</v>
      </c>
      <c r="F505" s="179"/>
      <c r="G505" s="183">
        <f>SUM(B505:C505)*1.35</f>
        <v>329525.55</v>
      </c>
      <c r="H505" s="183">
        <f>G505-E505</f>
        <v>329525.55</v>
      </c>
      <c r="I505" s="185">
        <f>IF(AND(OR(F505="",E505&lt;(SUM(B505:C505)*(1+$I$279))),H505&gt;=20000),H505,"No Cobrar")</f>
        <v>329525.55</v>
      </c>
    </row>
    <row r="506" ht="15.75" hidden="1" customHeight="1">
      <c r="A506" s="140"/>
      <c r="B506" s="45"/>
      <c r="C506" s="46"/>
      <c r="D506" s="46"/>
      <c r="E506" s="45"/>
      <c r="F506" s="45"/>
      <c r="G506" s="191"/>
      <c r="H506" s="191"/>
      <c r="I506" s="191"/>
    </row>
    <row r="507" ht="15.75" hidden="1" customHeight="1">
      <c r="A507" s="199" t="s">
        <v>410</v>
      </c>
      <c r="B507" s="200" t="s">
        <v>112</v>
      </c>
      <c r="C507" s="201">
        <v>768.0</v>
      </c>
      <c r="D507" s="46"/>
      <c r="E507" s="45"/>
      <c r="F507" s="45"/>
      <c r="G507" s="191"/>
      <c r="H507" s="191"/>
      <c r="I507" s="191"/>
    </row>
    <row r="508" ht="15.75" hidden="1" customHeight="1">
      <c r="A508" s="178"/>
      <c r="B508" s="179"/>
      <c r="C508" s="180"/>
      <c r="D508" s="181"/>
      <c r="E508" s="182"/>
      <c r="F508" s="179"/>
      <c r="G508" s="183"/>
      <c r="H508" s="183"/>
      <c r="I508" s="185"/>
    </row>
    <row r="509" ht="15.75" hidden="1" customHeight="1">
      <c r="A509" s="202" t="s">
        <v>411</v>
      </c>
      <c r="B509" s="203" t="s">
        <v>257</v>
      </c>
      <c r="C509" s="174" t="s">
        <v>317</v>
      </c>
      <c r="D509" s="204" t="s">
        <v>109</v>
      </c>
      <c r="E509" s="176" t="s">
        <v>232</v>
      </c>
      <c r="F509" s="205" t="s">
        <v>9</v>
      </c>
      <c r="G509" s="166" t="s">
        <v>233</v>
      </c>
      <c r="H509" s="166"/>
      <c r="I509" s="166"/>
    </row>
    <row r="510" ht="15.75" hidden="1" customHeight="1">
      <c r="A510" s="140" t="s">
        <v>412</v>
      </c>
      <c r="B510" s="179">
        <v>214750.04</v>
      </c>
      <c r="C510" s="180">
        <v>2000.0</v>
      </c>
      <c r="D510" s="181">
        <v>130.0</v>
      </c>
      <c r="E510" s="182">
        <f t="shared" ref="E510:E511" si="114">D510*$C$507</f>
        <v>99840</v>
      </c>
      <c r="F510" s="179">
        <v>182650.0</v>
      </c>
      <c r="G510" s="183">
        <f t="shared" ref="G510:G511" si="115">SUM(B510:C510)*1.35</f>
        <v>292612.554</v>
      </c>
      <c r="H510" s="183">
        <f t="shared" ref="H510:H511" si="116">G510-E510</f>
        <v>192772.554</v>
      </c>
      <c r="I510" s="185">
        <f t="shared" ref="I510:I511" si="117">IF(AND(OR(F510="",E510&lt;(SUM(B510:C510)*(1+$I$279))),H510&gt;=20000),H510,"No Cobrar")</f>
        <v>192772.554</v>
      </c>
      <c r="J510" s="206">
        <f t="shared" ref="J510:J511" si="118">(I510+E510)/(B510+C510)</f>
        <v>1.35</v>
      </c>
    </row>
    <row r="511" ht="15.75" hidden="1" customHeight="1">
      <c r="A511" s="140" t="s">
        <v>413</v>
      </c>
      <c r="B511" s="179">
        <v>214750.04</v>
      </c>
      <c r="C511" s="180">
        <v>2000.0</v>
      </c>
      <c r="D511" s="181">
        <v>130.0</v>
      </c>
      <c r="E511" s="182">
        <f t="shared" si="114"/>
        <v>99840</v>
      </c>
      <c r="F511" s="179">
        <v>182650.0</v>
      </c>
      <c r="G511" s="183">
        <f t="shared" si="115"/>
        <v>292612.554</v>
      </c>
      <c r="H511" s="183">
        <f t="shared" si="116"/>
        <v>192772.554</v>
      </c>
      <c r="I511" s="185">
        <f t="shared" si="117"/>
        <v>192772.554</v>
      </c>
      <c r="J511" s="206">
        <f t="shared" si="118"/>
        <v>1.35</v>
      </c>
    </row>
    <row r="512" ht="15.75" hidden="1" customHeight="1">
      <c r="A512" s="198"/>
      <c r="B512" s="207"/>
      <c r="C512" s="150"/>
      <c r="D512" s="150"/>
      <c r="E512" s="207"/>
      <c r="F512" s="207"/>
      <c r="G512" s="208"/>
      <c r="H512" s="208"/>
      <c r="I512" s="208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</row>
    <row r="513" ht="15.75" hidden="1" customHeight="1">
      <c r="A513" s="202" t="s">
        <v>414</v>
      </c>
      <c r="B513" s="203" t="s">
        <v>257</v>
      </c>
      <c r="C513" s="174" t="s">
        <v>317</v>
      </c>
      <c r="D513" s="204" t="s">
        <v>109</v>
      </c>
      <c r="E513" s="176" t="s">
        <v>232</v>
      </c>
      <c r="F513" s="205" t="s">
        <v>9</v>
      </c>
      <c r="G513" s="166" t="s">
        <v>233</v>
      </c>
      <c r="H513" s="166"/>
      <c r="I513" s="166"/>
    </row>
    <row r="514" ht="15.75" hidden="1" customHeight="1">
      <c r="A514" s="140" t="s">
        <v>415</v>
      </c>
      <c r="B514" s="179">
        <v>30034.0</v>
      </c>
      <c r="C514" s="180">
        <v>2000.0</v>
      </c>
      <c r="D514" s="181">
        <v>28.0</v>
      </c>
      <c r="E514" s="182">
        <f>D514*$C$507</f>
        <v>21504</v>
      </c>
      <c r="F514" s="179">
        <v>39340.0</v>
      </c>
      <c r="G514" s="183">
        <f>SUM(B514:C514)*1.35</f>
        <v>43245.9</v>
      </c>
      <c r="H514" s="183">
        <f>G514-E514</f>
        <v>21741.9</v>
      </c>
      <c r="I514" s="185">
        <f>IF(AND(OR(F514="",E514&lt;(SUM(B514:C514)*(1+$I$279))),H514&gt;=20000),H514,"No Cobrar")</f>
        <v>21741.9</v>
      </c>
      <c r="J514" s="206">
        <f>(I514+E514)/(B514+C514)</f>
        <v>1.35</v>
      </c>
    </row>
    <row r="515" ht="15.75" hidden="1" customHeight="1">
      <c r="A515" s="198"/>
      <c r="B515" s="207"/>
      <c r="C515" s="150"/>
      <c r="D515" s="150"/>
      <c r="E515" s="207"/>
      <c r="F515" s="207"/>
      <c r="G515" s="208"/>
      <c r="H515" s="208"/>
      <c r="I515" s="208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</row>
    <row r="516" ht="15.75" hidden="1" customHeight="1">
      <c r="A516" s="202" t="s">
        <v>236</v>
      </c>
      <c r="B516" s="203" t="s">
        <v>257</v>
      </c>
      <c r="C516" s="174" t="s">
        <v>317</v>
      </c>
      <c r="D516" s="204" t="s">
        <v>109</v>
      </c>
      <c r="E516" s="176" t="s">
        <v>232</v>
      </c>
      <c r="F516" s="205" t="s">
        <v>9</v>
      </c>
      <c r="G516" s="166" t="s">
        <v>233</v>
      </c>
      <c r="H516" s="166"/>
      <c r="I516" s="166"/>
    </row>
    <row r="517" ht="15.75" hidden="1" customHeight="1">
      <c r="A517" s="140" t="s">
        <v>385</v>
      </c>
      <c r="B517" s="179">
        <v>59298.74</v>
      </c>
      <c r="C517" s="180">
        <v>2000.0</v>
      </c>
      <c r="D517" s="181">
        <v>50.0</v>
      </c>
      <c r="E517" s="182">
        <f t="shared" ref="E517:E521" si="119">D517*$C$507</f>
        <v>38400</v>
      </c>
      <c r="F517" s="179">
        <v>70250.0</v>
      </c>
      <c r="G517" s="183">
        <f t="shared" ref="G517:G521" si="120">SUM(B517:C517)*1.35</f>
        <v>82753.299</v>
      </c>
      <c r="H517" s="183">
        <f t="shared" ref="H517:H521" si="121">G517-E517</f>
        <v>44353.299</v>
      </c>
      <c r="I517" s="185">
        <f t="shared" ref="I517:I521" si="122">IF(AND(OR(F517="",E517&lt;(SUM(B517:C517)*(1+$I$279))),H517&gt;=20000),H517,"No Cobrar")</f>
        <v>44353.299</v>
      </c>
      <c r="J517" s="206">
        <f t="shared" ref="J517:J521" si="123">(I517+E517)/(B517+C517)</f>
        <v>1.35</v>
      </c>
    </row>
    <row r="518" ht="15.75" hidden="1" customHeight="1">
      <c r="A518" s="140" t="s">
        <v>334</v>
      </c>
      <c r="B518" s="179">
        <v>59298.74</v>
      </c>
      <c r="C518" s="180">
        <v>2000.0</v>
      </c>
      <c r="D518" s="181">
        <v>50.0</v>
      </c>
      <c r="E518" s="182">
        <f t="shared" si="119"/>
        <v>38400</v>
      </c>
      <c r="F518" s="179">
        <v>70250.0</v>
      </c>
      <c r="G518" s="183">
        <f t="shared" si="120"/>
        <v>82753.299</v>
      </c>
      <c r="H518" s="183">
        <f t="shared" si="121"/>
        <v>44353.299</v>
      </c>
      <c r="I518" s="185">
        <f t="shared" si="122"/>
        <v>44353.299</v>
      </c>
      <c r="J518" s="206">
        <f t="shared" si="123"/>
        <v>1.35</v>
      </c>
    </row>
    <row r="519" ht="15.75" hidden="1" customHeight="1">
      <c r="A519" s="140" t="s">
        <v>416</v>
      </c>
      <c r="B519" s="179">
        <v>214750.04</v>
      </c>
      <c r="C519" s="180">
        <v>2000.0</v>
      </c>
      <c r="D519" s="181">
        <v>130.0</v>
      </c>
      <c r="E519" s="182">
        <f t="shared" si="119"/>
        <v>99840</v>
      </c>
      <c r="F519" s="179">
        <v>182650.0</v>
      </c>
      <c r="G519" s="183">
        <f t="shared" si="120"/>
        <v>292612.554</v>
      </c>
      <c r="H519" s="183">
        <f t="shared" si="121"/>
        <v>192772.554</v>
      </c>
      <c r="I519" s="185">
        <f t="shared" si="122"/>
        <v>192772.554</v>
      </c>
      <c r="J519" s="206">
        <f t="shared" si="123"/>
        <v>1.35</v>
      </c>
    </row>
    <row r="520" ht="15.75" hidden="1" customHeight="1">
      <c r="A520" s="140" t="s">
        <v>417</v>
      </c>
      <c r="B520" s="179">
        <v>214750.04</v>
      </c>
      <c r="C520" s="180">
        <v>2000.0</v>
      </c>
      <c r="D520" s="181">
        <v>130.0</v>
      </c>
      <c r="E520" s="182">
        <f t="shared" si="119"/>
        <v>99840</v>
      </c>
      <c r="F520" s="179">
        <v>182650.0</v>
      </c>
      <c r="G520" s="183">
        <f t="shared" si="120"/>
        <v>292612.554</v>
      </c>
      <c r="H520" s="183">
        <f t="shared" si="121"/>
        <v>192772.554</v>
      </c>
      <c r="I520" s="185">
        <f t="shared" si="122"/>
        <v>192772.554</v>
      </c>
      <c r="J520" s="206">
        <f t="shared" si="123"/>
        <v>1.35</v>
      </c>
    </row>
    <row r="521" ht="15.75" hidden="1" customHeight="1">
      <c r="A521" s="198" t="s">
        <v>418</v>
      </c>
      <c r="B521" s="210">
        <v>242093.0</v>
      </c>
      <c r="C521" s="197">
        <v>2000.0</v>
      </c>
      <c r="D521" s="211">
        <v>300.0</v>
      </c>
      <c r="E521" s="212">
        <f t="shared" si="119"/>
        <v>230400</v>
      </c>
      <c r="F521" s="210">
        <v>421500.0</v>
      </c>
      <c r="G521" s="213">
        <f t="shared" si="120"/>
        <v>329525.55</v>
      </c>
      <c r="H521" s="213">
        <f t="shared" si="121"/>
        <v>99125.55</v>
      </c>
      <c r="I521" s="185">
        <f t="shared" si="122"/>
        <v>99125.55</v>
      </c>
      <c r="J521" s="206">
        <f t="shared" si="123"/>
        <v>1.35</v>
      </c>
    </row>
    <row r="522" ht="15.75" hidden="1" customHeight="1">
      <c r="A522" s="198"/>
      <c r="B522" s="207"/>
      <c r="C522" s="150"/>
      <c r="D522" s="150"/>
      <c r="E522" s="207"/>
      <c r="F522" s="207"/>
      <c r="G522" s="208"/>
      <c r="H522" s="208"/>
      <c r="I522" s="208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</row>
    <row r="523" ht="15.75" hidden="1" customHeight="1">
      <c r="A523" s="202" t="s">
        <v>419</v>
      </c>
      <c r="B523" s="203" t="s">
        <v>257</v>
      </c>
      <c r="C523" s="174" t="s">
        <v>317</v>
      </c>
      <c r="D523" s="204" t="s">
        <v>109</v>
      </c>
      <c r="E523" s="176" t="s">
        <v>232</v>
      </c>
      <c r="F523" s="205" t="s">
        <v>9</v>
      </c>
      <c r="G523" s="166" t="s">
        <v>233</v>
      </c>
      <c r="H523" s="166"/>
      <c r="I523" s="166"/>
    </row>
    <row r="524" ht="15.75" hidden="1" customHeight="1">
      <c r="A524" s="140" t="s">
        <v>420</v>
      </c>
      <c r="B524" s="179">
        <v>30034.0</v>
      </c>
      <c r="C524" s="180">
        <v>2000.0</v>
      </c>
      <c r="D524" s="181">
        <v>28.0</v>
      </c>
      <c r="E524" s="182">
        <f>D524*$C$507</f>
        <v>21504</v>
      </c>
      <c r="F524" s="179">
        <v>39340.0</v>
      </c>
      <c r="G524" s="183">
        <f>SUM(B524:C524)*1.35</f>
        <v>43245.9</v>
      </c>
      <c r="H524" s="183">
        <f>G524-E524</f>
        <v>21741.9</v>
      </c>
      <c r="I524" s="185">
        <f>IF(AND(OR(F524="",E524&lt;(SUM(B524:C524)*(1+$I$279))),H524&gt;=20000),H524,"No Cobrar")</f>
        <v>21741.9</v>
      </c>
      <c r="J524" s="206">
        <f>(I524+E524)/(B524+C524)</f>
        <v>1.35</v>
      </c>
    </row>
    <row r="525" ht="15.75" hidden="1" customHeight="1">
      <c r="A525" s="198"/>
      <c r="B525" s="207"/>
      <c r="C525" s="150"/>
      <c r="D525" s="150"/>
      <c r="E525" s="207"/>
      <c r="F525" s="207"/>
      <c r="G525" s="208"/>
      <c r="H525" s="208"/>
      <c r="I525" s="208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</row>
    <row r="526" ht="15.75" hidden="1" customHeight="1">
      <c r="A526" s="172" t="s">
        <v>421</v>
      </c>
      <c r="B526" s="203" t="s">
        <v>257</v>
      </c>
      <c r="C526" s="174" t="s">
        <v>317</v>
      </c>
      <c r="D526" s="204" t="s">
        <v>109</v>
      </c>
      <c r="E526" s="176" t="s">
        <v>232</v>
      </c>
      <c r="F526" s="205" t="s">
        <v>9</v>
      </c>
      <c r="G526" s="166" t="s">
        <v>233</v>
      </c>
      <c r="H526" s="166"/>
      <c r="I526" s="166"/>
    </row>
    <row r="527" ht="15.75" hidden="1" customHeight="1">
      <c r="A527" s="198" t="s">
        <v>422</v>
      </c>
      <c r="B527" s="179">
        <f>20000+32000</f>
        <v>52000</v>
      </c>
      <c r="C527" s="181">
        <v>30000.0</v>
      </c>
      <c r="D527" s="181"/>
      <c r="E527" s="182">
        <f>D527*$C$507</f>
        <v>0</v>
      </c>
      <c r="F527" s="179"/>
      <c r="G527" s="183">
        <f>SUM(B527:C527)*1.35</f>
        <v>110700</v>
      </c>
      <c r="H527" s="183">
        <f>G527-E527</f>
        <v>110700</v>
      </c>
      <c r="I527" s="185">
        <f>IF(AND(OR(F527="",E527&lt;(SUM(B527:C527)*(1+$I$279))),H527&gt;=20000),H527,"No Cobrar")</f>
        <v>110700</v>
      </c>
    </row>
    <row r="528" ht="15.75" hidden="1" customHeight="1">
      <c r="A528" s="198"/>
      <c r="B528" s="207"/>
      <c r="C528" s="150"/>
      <c r="D528" s="150"/>
      <c r="E528" s="207"/>
      <c r="F528" s="207"/>
      <c r="G528" s="208"/>
      <c r="H528" s="208"/>
      <c r="I528" s="208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</row>
    <row r="529" ht="15.75" hidden="1" customHeight="1">
      <c r="A529" s="202" t="s">
        <v>423</v>
      </c>
      <c r="B529" s="203" t="s">
        <v>257</v>
      </c>
      <c r="C529" s="174" t="s">
        <v>317</v>
      </c>
      <c r="D529" s="204" t="s">
        <v>109</v>
      </c>
      <c r="E529" s="176" t="s">
        <v>232</v>
      </c>
      <c r="F529" s="205" t="s">
        <v>9</v>
      </c>
      <c r="G529" s="166" t="s">
        <v>233</v>
      </c>
      <c r="H529" s="166"/>
      <c r="I529" s="166"/>
    </row>
    <row r="530" ht="15.75" hidden="1" customHeight="1">
      <c r="A530" s="140" t="s">
        <v>424</v>
      </c>
      <c r="B530" s="179">
        <v>243986.2</v>
      </c>
      <c r="C530" s="180">
        <v>2000.0</v>
      </c>
      <c r="D530" s="181">
        <v>65.0</v>
      </c>
      <c r="E530" s="182">
        <f t="shared" ref="E530:E534" si="124">D530*$C$507</f>
        <v>49920</v>
      </c>
      <c r="F530" s="179">
        <v>91325.0</v>
      </c>
      <c r="G530" s="183">
        <f t="shared" ref="G530:G534" si="125">SUM(B530:C530)*1.35</f>
        <v>332081.37</v>
      </c>
      <c r="H530" s="183">
        <f t="shared" ref="H530:H534" si="126">G530-E530</f>
        <v>282161.37</v>
      </c>
      <c r="I530" s="185">
        <f t="shared" ref="I530:I534" si="127">IF(AND(OR(F530="",E530&lt;(SUM(B530:C530)*(1+$I$279))),H530&gt;=20000),H530,"No Cobrar")</f>
        <v>282161.37</v>
      </c>
      <c r="J530" s="206">
        <f t="shared" ref="J530:J534" si="128">(I530+E530)/(B530+C530)</f>
        <v>1.35</v>
      </c>
    </row>
    <row r="531" ht="15.75" hidden="1" customHeight="1">
      <c r="A531" s="140" t="s">
        <v>425</v>
      </c>
      <c r="B531" s="179">
        <v>100747.34</v>
      </c>
      <c r="C531" s="180">
        <v>2000.0</v>
      </c>
      <c r="D531" s="181">
        <v>65.0</v>
      </c>
      <c r="E531" s="182">
        <f t="shared" si="124"/>
        <v>49920</v>
      </c>
      <c r="F531" s="179">
        <v>91325.0</v>
      </c>
      <c r="G531" s="183">
        <f t="shared" si="125"/>
        <v>138708.909</v>
      </c>
      <c r="H531" s="183">
        <f t="shared" si="126"/>
        <v>88788.909</v>
      </c>
      <c r="I531" s="185">
        <f t="shared" si="127"/>
        <v>88788.909</v>
      </c>
      <c r="J531" s="206">
        <f t="shared" si="128"/>
        <v>1.35</v>
      </c>
    </row>
    <row r="532" ht="15.75" hidden="1" customHeight="1">
      <c r="A532" s="140" t="s">
        <v>426</v>
      </c>
      <c r="B532" s="179">
        <v>110849.0</v>
      </c>
      <c r="C532" s="180">
        <v>2000.0</v>
      </c>
      <c r="D532" s="181">
        <v>15.0</v>
      </c>
      <c r="E532" s="182">
        <f t="shared" si="124"/>
        <v>11520</v>
      </c>
      <c r="F532" s="179">
        <v>210750.0</v>
      </c>
      <c r="G532" s="183">
        <f t="shared" si="125"/>
        <v>152346.15</v>
      </c>
      <c r="H532" s="183">
        <f t="shared" si="126"/>
        <v>140826.15</v>
      </c>
      <c r="I532" s="185">
        <f t="shared" si="127"/>
        <v>140826.15</v>
      </c>
      <c r="J532" s="206">
        <f t="shared" si="128"/>
        <v>1.35</v>
      </c>
    </row>
    <row r="533" ht="15.75" hidden="1" customHeight="1">
      <c r="A533" s="140" t="s">
        <v>427</v>
      </c>
      <c r="B533" s="179">
        <v>121244.97</v>
      </c>
      <c r="C533" s="180">
        <v>2000.0</v>
      </c>
      <c r="D533" s="181">
        <v>15.0</v>
      </c>
      <c r="E533" s="182">
        <f t="shared" si="124"/>
        <v>11520</v>
      </c>
      <c r="F533" s="179">
        <v>210750.0</v>
      </c>
      <c r="G533" s="183">
        <f t="shared" si="125"/>
        <v>166380.7095</v>
      </c>
      <c r="H533" s="183">
        <f t="shared" si="126"/>
        <v>154860.7095</v>
      </c>
      <c r="I533" s="185">
        <f t="shared" si="127"/>
        <v>154860.7095</v>
      </c>
      <c r="J533" s="206">
        <f t="shared" si="128"/>
        <v>1.35</v>
      </c>
    </row>
    <row r="534" ht="15.75" hidden="1" customHeight="1">
      <c r="A534" s="140" t="s">
        <v>428</v>
      </c>
      <c r="B534" s="179">
        <v>118541.59</v>
      </c>
      <c r="C534" s="180">
        <v>2000.0</v>
      </c>
      <c r="D534" s="181">
        <v>100.0</v>
      </c>
      <c r="E534" s="182">
        <f t="shared" si="124"/>
        <v>76800</v>
      </c>
      <c r="F534" s="179">
        <v>140500.0</v>
      </c>
      <c r="G534" s="183">
        <f t="shared" si="125"/>
        <v>162731.1465</v>
      </c>
      <c r="H534" s="183">
        <f t="shared" si="126"/>
        <v>85931.1465</v>
      </c>
      <c r="I534" s="185">
        <f t="shared" si="127"/>
        <v>85931.1465</v>
      </c>
      <c r="J534" s="206">
        <f t="shared" si="128"/>
        <v>1.35</v>
      </c>
    </row>
    <row r="535" ht="15.75" hidden="1" customHeight="1">
      <c r="A535" s="198"/>
      <c r="B535" s="207"/>
      <c r="C535" s="150"/>
      <c r="D535" s="150"/>
      <c r="E535" s="207"/>
      <c r="F535" s="207"/>
      <c r="G535" s="208"/>
      <c r="H535" s="208"/>
      <c r="I535" s="208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</row>
    <row r="536" ht="15.75" hidden="1" customHeight="1">
      <c r="A536" s="202" t="s">
        <v>429</v>
      </c>
      <c r="B536" s="203" t="s">
        <v>257</v>
      </c>
      <c r="C536" s="174" t="s">
        <v>317</v>
      </c>
      <c r="D536" s="204" t="s">
        <v>109</v>
      </c>
      <c r="E536" s="176" t="s">
        <v>232</v>
      </c>
      <c r="F536" s="205" t="s">
        <v>9</v>
      </c>
      <c r="G536" s="166" t="s">
        <v>233</v>
      </c>
      <c r="H536" s="166"/>
      <c r="I536" s="166"/>
    </row>
    <row r="537" ht="15.75" hidden="1" customHeight="1">
      <c r="A537" s="140" t="s">
        <v>385</v>
      </c>
      <c r="B537" s="179">
        <v>59298.74</v>
      </c>
      <c r="C537" s="180">
        <v>2000.0</v>
      </c>
      <c r="D537" s="181">
        <v>50.0</v>
      </c>
      <c r="E537" s="182">
        <f t="shared" ref="E537:E540" si="129">D537*$C$507</f>
        <v>38400</v>
      </c>
      <c r="F537" s="179">
        <v>70250.0</v>
      </c>
      <c r="G537" s="183">
        <f t="shared" ref="G537:G540" si="130">SUM(B537:C537)*1.35</f>
        <v>82753.299</v>
      </c>
      <c r="H537" s="183">
        <f t="shared" ref="H537:H540" si="131">G537-E537</f>
        <v>44353.299</v>
      </c>
      <c r="I537" s="185">
        <f t="shared" ref="I537:I540" si="132">IF(AND(OR(F537="",E537&lt;(SUM(B537:C537)*(1+$I$279))),H537&gt;=20000),H537,"No Cobrar")</f>
        <v>44353.299</v>
      </c>
      <c r="J537" s="206">
        <f t="shared" ref="J537:J540" si="133">(I537+E537)/(B537+C537)</f>
        <v>1.35</v>
      </c>
    </row>
    <row r="538" ht="15.75" hidden="1" customHeight="1">
      <c r="A538" s="140" t="s">
        <v>308</v>
      </c>
      <c r="B538" s="179">
        <v>59298.74</v>
      </c>
      <c r="C538" s="180">
        <v>2000.0</v>
      </c>
      <c r="D538" s="181">
        <v>50.0</v>
      </c>
      <c r="E538" s="182">
        <f t="shared" si="129"/>
        <v>38400</v>
      </c>
      <c r="F538" s="179">
        <v>182650.0</v>
      </c>
      <c r="G538" s="183">
        <f t="shared" si="130"/>
        <v>82753.299</v>
      </c>
      <c r="H538" s="183">
        <f t="shared" si="131"/>
        <v>44353.299</v>
      </c>
      <c r="I538" s="185">
        <f t="shared" si="132"/>
        <v>44353.299</v>
      </c>
      <c r="J538" s="206">
        <f t="shared" si="133"/>
        <v>1.35</v>
      </c>
    </row>
    <row r="539" ht="15.75" hidden="1" customHeight="1">
      <c r="A539" s="140" t="s">
        <v>416</v>
      </c>
      <c r="B539" s="179">
        <v>214750.04</v>
      </c>
      <c r="C539" s="180">
        <v>2000.0</v>
      </c>
      <c r="D539" s="181">
        <v>130.0</v>
      </c>
      <c r="E539" s="182">
        <f t="shared" si="129"/>
        <v>99840</v>
      </c>
      <c r="F539" s="179">
        <v>182650.0</v>
      </c>
      <c r="G539" s="183">
        <f t="shared" si="130"/>
        <v>292612.554</v>
      </c>
      <c r="H539" s="183">
        <f t="shared" si="131"/>
        <v>192772.554</v>
      </c>
      <c r="I539" s="185">
        <f t="shared" si="132"/>
        <v>192772.554</v>
      </c>
      <c r="J539" s="206">
        <f t="shared" si="133"/>
        <v>1.35</v>
      </c>
    </row>
    <row r="540" ht="15.75" hidden="1" customHeight="1">
      <c r="A540" s="140" t="s">
        <v>417</v>
      </c>
      <c r="B540" s="179">
        <v>214750.04</v>
      </c>
      <c r="C540" s="180">
        <v>2000.0</v>
      </c>
      <c r="D540" s="181">
        <v>130.0</v>
      </c>
      <c r="E540" s="182">
        <f t="shared" si="129"/>
        <v>99840</v>
      </c>
      <c r="F540" s="179">
        <v>182650.0</v>
      </c>
      <c r="G540" s="183">
        <f t="shared" si="130"/>
        <v>292612.554</v>
      </c>
      <c r="H540" s="183">
        <f t="shared" si="131"/>
        <v>192772.554</v>
      </c>
      <c r="I540" s="185">
        <f t="shared" si="132"/>
        <v>192772.554</v>
      </c>
      <c r="J540" s="206">
        <f t="shared" si="133"/>
        <v>1.35</v>
      </c>
    </row>
    <row r="541" ht="15.75" hidden="1" customHeight="1">
      <c r="A541" s="140"/>
      <c r="B541" s="45"/>
      <c r="C541" s="46"/>
      <c r="D541" s="46"/>
      <c r="E541" s="45"/>
      <c r="F541" s="45"/>
      <c r="G541" s="208"/>
      <c r="H541" s="208"/>
      <c r="I541" s="208"/>
    </row>
    <row r="542" ht="15.75" hidden="1" customHeight="1">
      <c r="A542" s="202" t="s">
        <v>430</v>
      </c>
      <c r="B542" s="203" t="s">
        <v>257</v>
      </c>
      <c r="C542" s="174" t="s">
        <v>317</v>
      </c>
      <c r="D542" s="204" t="s">
        <v>109</v>
      </c>
      <c r="E542" s="176" t="s">
        <v>232</v>
      </c>
      <c r="F542" s="205" t="s">
        <v>9</v>
      </c>
      <c r="G542" s="166" t="s">
        <v>233</v>
      </c>
      <c r="H542" s="166"/>
      <c r="I542" s="166"/>
    </row>
    <row r="543" ht="15.75" hidden="1" customHeight="1">
      <c r="A543" s="198" t="s">
        <v>431</v>
      </c>
      <c r="B543" s="179">
        <f>20000+32000</f>
        <v>52000</v>
      </c>
      <c r="C543" s="181">
        <v>30000.0</v>
      </c>
      <c r="D543" s="211"/>
      <c r="E543" s="212">
        <f>D543*$C$507</f>
        <v>0</v>
      </c>
      <c r="F543" s="210"/>
      <c r="G543" s="183">
        <f>SUM(B543:C543)*1.35</f>
        <v>110700</v>
      </c>
      <c r="H543" s="213">
        <f>G543-E543</f>
        <v>110700</v>
      </c>
      <c r="I543" s="185">
        <f>IF(AND(OR(F543="",E543&lt;(SUM(B543:C543)*(1+$I$279))),H543&gt;=20000),H543,"No Cobrar")</f>
        <v>110700</v>
      </c>
      <c r="J543" s="206">
        <f>(I543+E543)/(B543+C543)</f>
        <v>1.35</v>
      </c>
    </row>
    <row r="544" ht="15.75" hidden="1" customHeight="1">
      <c r="A544" s="198"/>
      <c r="B544" s="207"/>
      <c r="C544" s="150"/>
      <c r="D544" s="150"/>
      <c r="E544" s="207"/>
      <c r="F544" s="207"/>
      <c r="G544" s="208"/>
      <c r="H544" s="208"/>
      <c r="I544" s="208"/>
    </row>
    <row r="545" ht="15.75" hidden="1" customHeight="1">
      <c r="A545" s="202" t="s">
        <v>432</v>
      </c>
      <c r="B545" s="203" t="s">
        <v>257</v>
      </c>
      <c r="C545" s="174" t="s">
        <v>317</v>
      </c>
      <c r="D545" s="204" t="s">
        <v>109</v>
      </c>
      <c r="E545" s="176" t="s">
        <v>232</v>
      </c>
      <c r="F545" s="205" t="s">
        <v>9</v>
      </c>
      <c r="G545" s="166" t="s">
        <v>233</v>
      </c>
      <c r="H545" s="166"/>
      <c r="I545" s="166"/>
    </row>
    <row r="546" ht="15.75" hidden="1" customHeight="1">
      <c r="A546" s="140" t="s">
        <v>307</v>
      </c>
      <c r="B546" s="179">
        <v>59298.74</v>
      </c>
      <c r="C546" s="180">
        <v>2000.0</v>
      </c>
      <c r="D546" s="181">
        <v>50.0</v>
      </c>
      <c r="E546" s="182">
        <f t="shared" ref="E546:E549" si="134">D546*$C$507</f>
        <v>38400</v>
      </c>
      <c r="F546" s="179">
        <v>70250.0</v>
      </c>
      <c r="G546" s="183">
        <f t="shared" ref="G546:G549" si="135">SUM(B546:C546)*1.35</f>
        <v>82753.299</v>
      </c>
      <c r="H546" s="183">
        <f t="shared" ref="H546:H549" si="136">G546-E546</f>
        <v>44353.299</v>
      </c>
      <c r="I546" s="185">
        <f t="shared" ref="I546:I549" si="137">IF(AND(OR(F546="",E546&lt;(SUM(B546:C546)*(1+$I$279))),H546&gt;=20000),H546,"No Cobrar")</f>
        <v>44353.299</v>
      </c>
      <c r="J546" s="206">
        <f t="shared" ref="J546:J549" si="138">(I546+E546)/(B546+C546)</f>
        <v>1.35</v>
      </c>
    </row>
    <row r="547" ht="15.75" hidden="1" customHeight="1">
      <c r="A547" s="140" t="s">
        <v>402</v>
      </c>
      <c r="B547" s="179">
        <v>59298.74</v>
      </c>
      <c r="C547" s="180">
        <v>2000.0</v>
      </c>
      <c r="D547" s="181">
        <v>50.0</v>
      </c>
      <c r="E547" s="182">
        <f t="shared" si="134"/>
        <v>38400</v>
      </c>
      <c r="F547" s="179">
        <v>70250.0</v>
      </c>
      <c r="G547" s="183">
        <f t="shared" si="135"/>
        <v>82753.299</v>
      </c>
      <c r="H547" s="183">
        <f t="shared" si="136"/>
        <v>44353.299</v>
      </c>
      <c r="I547" s="185">
        <f t="shared" si="137"/>
        <v>44353.299</v>
      </c>
      <c r="J547" s="206">
        <f t="shared" si="138"/>
        <v>1.35</v>
      </c>
    </row>
    <row r="548" ht="15.75" hidden="1" customHeight="1">
      <c r="A548" s="140" t="s">
        <v>397</v>
      </c>
      <c r="B548" s="179">
        <v>214750.04</v>
      </c>
      <c r="C548" s="180">
        <v>2000.0</v>
      </c>
      <c r="D548" s="181">
        <v>130.0</v>
      </c>
      <c r="E548" s="182">
        <f t="shared" si="134"/>
        <v>99840</v>
      </c>
      <c r="F548" s="179">
        <v>182650.0</v>
      </c>
      <c r="G548" s="183">
        <f t="shared" si="135"/>
        <v>292612.554</v>
      </c>
      <c r="H548" s="183">
        <f t="shared" si="136"/>
        <v>192772.554</v>
      </c>
      <c r="I548" s="185">
        <f t="shared" si="137"/>
        <v>192772.554</v>
      </c>
      <c r="J548" s="206">
        <f t="shared" si="138"/>
        <v>1.35</v>
      </c>
    </row>
    <row r="549" ht="15.75" hidden="1" customHeight="1">
      <c r="A549" s="140" t="s">
        <v>433</v>
      </c>
      <c r="B549" s="179">
        <v>214750.04</v>
      </c>
      <c r="C549" s="180">
        <v>2000.0</v>
      </c>
      <c r="D549" s="181">
        <v>130.0</v>
      </c>
      <c r="E549" s="182">
        <f t="shared" si="134"/>
        <v>99840</v>
      </c>
      <c r="F549" s="179">
        <v>182650.0</v>
      </c>
      <c r="G549" s="183">
        <f t="shared" si="135"/>
        <v>292612.554</v>
      </c>
      <c r="H549" s="183">
        <f t="shared" si="136"/>
        <v>192772.554</v>
      </c>
      <c r="I549" s="185">
        <f t="shared" si="137"/>
        <v>192772.554</v>
      </c>
      <c r="J549" s="206">
        <f t="shared" si="138"/>
        <v>1.35</v>
      </c>
    </row>
    <row r="550" ht="15.75" hidden="1" customHeight="1">
      <c r="A550" s="140"/>
      <c r="B550" s="45"/>
      <c r="C550" s="46"/>
      <c r="D550" s="46"/>
      <c r="E550" s="45"/>
      <c r="F550" s="45"/>
      <c r="G550" s="208"/>
      <c r="H550" s="208"/>
      <c r="I550" s="208"/>
    </row>
    <row r="551" ht="15.75" hidden="1" customHeight="1">
      <c r="A551" s="202" t="s">
        <v>434</v>
      </c>
      <c r="B551" s="203" t="s">
        <v>257</v>
      </c>
      <c r="C551" s="174" t="s">
        <v>317</v>
      </c>
      <c r="D551" s="204" t="s">
        <v>109</v>
      </c>
      <c r="E551" s="176" t="s">
        <v>232</v>
      </c>
      <c r="F551" s="205" t="s">
        <v>9</v>
      </c>
      <c r="G551" s="166" t="s">
        <v>233</v>
      </c>
      <c r="H551" s="166"/>
      <c r="I551" s="166"/>
    </row>
    <row r="552" ht="15.75" hidden="1" customHeight="1">
      <c r="A552" s="198" t="s">
        <v>435</v>
      </c>
      <c r="B552" s="179">
        <f>20000+32000</f>
        <v>52000</v>
      </c>
      <c r="C552" s="181">
        <v>30000.0</v>
      </c>
      <c r="D552" s="181"/>
      <c r="E552" s="182">
        <f>D552*$C$507</f>
        <v>0</v>
      </c>
      <c r="F552" s="179"/>
      <c r="G552" s="183">
        <f>SUM(B552:C552)*1.35</f>
        <v>110700</v>
      </c>
      <c r="H552" s="183">
        <f>G552-E552</f>
        <v>110700</v>
      </c>
      <c r="I552" s="185">
        <f>IF(AND(OR(F552="",E552&lt;(SUM(B552:C552)*(1+$I$279))),H552&gt;=20000),H552,"No Cobrar")</f>
        <v>110700</v>
      </c>
      <c r="J552" s="206">
        <f>(I552+E552)/(B552+C552)</f>
        <v>1.35</v>
      </c>
    </row>
    <row r="553" ht="15.75" hidden="1" customHeight="1">
      <c r="C553" s="46"/>
      <c r="D553" s="46"/>
      <c r="E553" s="45"/>
      <c r="F553" s="45"/>
      <c r="G553" s="208"/>
      <c r="H553" s="208"/>
      <c r="I553" s="208"/>
    </row>
    <row r="554" ht="15.75" hidden="1" customHeight="1">
      <c r="A554" s="202" t="s">
        <v>436</v>
      </c>
      <c r="B554" s="203" t="s">
        <v>257</v>
      </c>
      <c r="C554" s="174" t="s">
        <v>317</v>
      </c>
      <c r="D554" s="204" t="s">
        <v>109</v>
      </c>
      <c r="E554" s="176" t="s">
        <v>232</v>
      </c>
      <c r="F554" s="205" t="s">
        <v>9</v>
      </c>
      <c r="G554" s="166" t="s">
        <v>233</v>
      </c>
      <c r="H554" s="166"/>
      <c r="I554" s="166"/>
    </row>
    <row r="555" ht="15.75" hidden="1" customHeight="1">
      <c r="A555" s="140" t="s">
        <v>437</v>
      </c>
      <c r="B555" s="179">
        <v>146218.8</v>
      </c>
      <c r="C555" s="180">
        <v>2000.0</v>
      </c>
      <c r="D555" s="181">
        <v>220.0</v>
      </c>
      <c r="E555" s="182">
        <f t="shared" ref="E555:E557" si="139">D555*$C$507</f>
        <v>168960</v>
      </c>
      <c r="F555" s="179">
        <v>309100.0</v>
      </c>
      <c r="G555" s="183">
        <f t="shared" ref="G555:G557" si="140">SUM(B555:C555)*1.35</f>
        <v>200095.38</v>
      </c>
      <c r="H555" s="183">
        <f t="shared" ref="H555:H557" si="141">G555-E555</f>
        <v>31135.38</v>
      </c>
      <c r="I555" s="185">
        <f t="shared" ref="I555:I557" si="142">IF(AND(OR(F555="",E555&lt;(SUM(B555:C555)*(1+$I$279))),H555&gt;=20000),H555,"No Cobrar")</f>
        <v>31135.38</v>
      </c>
      <c r="J555" s="206">
        <f t="shared" ref="J555:J557" si="143">(I555+E555)/(B555+C555)</f>
        <v>1.35</v>
      </c>
    </row>
    <row r="556" ht="15.75" hidden="1" customHeight="1">
      <c r="A556" s="140" t="s">
        <v>438</v>
      </c>
      <c r="B556" s="179">
        <v>146218.8</v>
      </c>
      <c r="C556" s="180">
        <v>2000.0</v>
      </c>
      <c r="D556" s="181">
        <v>220.0</v>
      </c>
      <c r="E556" s="182">
        <f t="shared" si="139"/>
        <v>168960</v>
      </c>
      <c r="F556" s="179">
        <v>309100.0</v>
      </c>
      <c r="G556" s="183">
        <f t="shared" si="140"/>
        <v>200095.38</v>
      </c>
      <c r="H556" s="183">
        <f t="shared" si="141"/>
        <v>31135.38</v>
      </c>
      <c r="I556" s="185">
        <f t="shared" si="142"/>
        <v>31135.38</v>
      </c>
      <c r="J556" s="206">
        <f t="shared" si="143"/>
        <v>1.35</v>
      </c>
    </row>
    <row r="557" ht="15.75" hidden="1" customHeight="1">
      <c r="A557" s="198" t="s">
        <v>439</v>
      </c>
      <c r="B557" s="214">
        <v>109240.11</v>
      </c>
      <c r="C557" s="197">
        <v>2000.0</v>
      </c>
      <c r="D557" s="211"/>
      <c r="E557" s="212">
        <f t="shared" si="139"/>
        <v>0</v>
      </c>
      <c r="F557" s="210"/>
      <c r="G557" s="183">
        <f t="shared" si="140"/>
        <v>150174.1485</v>
      </c>
      <c r="H557" s="183">
        <f t="shared" si="141"/>
        <v>150174.1485</v>
      </c>
      <c r="I557" s="185">
        <f t="shared" si="142"/>
        <v>150174.1485</v>
      </c>
      <c r="J557" s="215">
        <f t="shared" si="143"/>
        <v>1.35</v>
      </c>
    </row>
    <row r="558" ht="15.75" hidden="1" customHeight="1">
      <c r="C558" s="46"/>
      <c r="D558" s="46"/>
      <c r="E558" s="45"/>
      <c r="F558" s="45"/>
      <c r="G558" s="191"/>
      <c r="H558" s="191"/>
      <c r="I558" s="191"/>
    </row>
    <row r="559" ht="15.75" hidden="1" customHeight="1">
      <c r="A559" s="216" t="s">
        <v>440</v>
      </c>
      <c r="B559" s="217" t="s">
        <v>112</v>
      </c>
      <c r="C559" s="218">
        <v>708.0</v>
      </c>
      <c r="D559" s="46"/>
      <c r="E559" s="45"/>
      <c r="F559" s="45"/>
      <c r="G559" s="208"/>
      <c r="H559" s="208"/>
      <c r="I559" s="208"/>
    </row>
    <row r="560" ht="15.75" hidden="1" customHeight="1">
      <c r="A560" s="178"/>
      <c r="B560" s="179"/>
      <c r="C560" s="180"/>
      <c r="D560" s="181"/>
      <c r="E560" s="182"/>
      <c r="F560" s="179"/>
      <c r="G560" s="219"/>
      <c r="H560" s="219"/>
      <c r="I560" s="220"/>
    </row>
    <row r="561" ht="15.75" hidden="1" customHeight="1">
      <c r="A561" s="172" t="s">
        <v>441</v>
      </c>
      <c r="B561" s="221" t="s">
        <v>257</v>
      </c>
      <c r="C561" s="222" t="s">
        <v>317</v>
      </c>
      <c r="D561" s="223" t="s">
        <v>109</v>
      </c>
      <c r="E561" s="224" t="s">
        <v>232</v>
      </c>
      <c r="F561" s="225" t="s">
        <v>9</v>
      </c>
      <c r="G561" s="226" t="s">
        <v>233</v>
      </c>
      <c r="H561" s="226"/>
      <c r="I561" s="226"/>
    </row>
    <row r="562" ht="15.75" hidden="1" customHeight="1">
      <c r="A562" s="140" t="s">
        <v>442</v>
      </c>
      <c r="B562" s="179">
        <v>84000.39</v>
      </c>
      <c r="C562" s="180">
        <v>2000.0</v>
      </c>
      <c r="D562" s="181">
        <v>0.0</v>
      </c>
      <c r="E562" s="182">
        <f>D562*$C$559</f>
        <v>0</v>
      </c>
      <c r="F562" s="179"/>
      <c r="G562" s="227">
        <f>SUM(B562:C562)*1.35</f>
        <v>116100.5265</v>
      </c>
      <c r="H562" s="227">
        <f>G562-E562</f>
        <v>116100.5265</v>
      </c>
      <c r="I562" s="228">
        <f>IF(AND(OR(F562="",E562&lt;(SUM(B562:C562)*(1+$I$279))),H562&gt;=20000),H562,"No Cobrar")</f>
        <v>116100.5265</v>
      </c>
    </row>
    <row r="563" ht="15.75" hidden="1" customHeight="1">
      <c r="C563" s="46"/>
      <c r="D563" s="46"/>
      <c r="E563" s="45"/>
      <c r="F563" s="45"/>
      <c r="G563" s="191"/>
      <c r="H563" s="191"/>
      <c r="I563" s="191"/>
    </row>
    <row r="564" ht="15.75" hidden="1" customHeight="1">
      <c r="A564" s="229" t="s">
        <v>443</v>
      </c>
      <c r="B564" s="230" t="s">
        <v>257</v>
      </c>
      <c r="C564" s="197" t="s">
        <v>317</v>
      </c>
      <c r="D564" s="231" t="s">
        <v>109</v>
      </c>
      <c r="E564" s="196" t="s">
        <v>232</v>
      </c>
      <c r="F564" s="230" t="s">
        <v>9</v>
      </c>
      <c r="G564" s="232" t="s">
        <v>233</v>
      </c>
      <c r="H564" s="232"/>
      <c r="I564" s="232"/>
    </row>
    <row r="565" ht="15.75" hidden="1" customHeight="1">
      <c r="A565" s="140" t="s">
        <v>307</v>
      </c>
      <c r="B565" s="233">
        <v>63587.15</v>
      </c>
      <c r="C565" s="180">
        <v>2000.0</v>
      </c>
      <c r="D565" s="181">
        <v>50.0</v>
      </c>
      <c r="E565" s="182">
        <f t="shared" ref="E565:E567" si="144">D565*$C$559</f>
        <v>35400</v>
      </c>
      <c r="F565" s="179">
        <v>78750.0</v>
      </c>
      <c r="G565" s="227">
        <f t="shared" ref="G565:G567" si="145">SUM(B565:C565)*1.35</f>
        <v>88542.6525</v>
      </c>
      <c r="H565" s="227">
        <f t="shared" ref="H565:H567" si="146">G565-E565</f>
        <v>53142.6525</v>
      </c>
      <c r="I565" s="228">
        <f t="shared" ref="I565:I567" si="147">IF(AND(OR(F565="",E565&lt;(SUM(B565:C565)*(1+$I$279))),H565&gt;=20000),H565,"No Cobrar")</f>
        <v>53142.6525</v>
      </c>
    </row>
    <row r="566" ht="15.75" hidden="1" customHeight="1">
      <c r="A566" s="140" t="s">
        <v>397</v>
      </c>
      <c r="B566" s="179">
        <v>220118.79</v>
      </c>
      <c r="C566" s="180">
        <v>2000.0</v>
      </c>
      <c r="D566" s="181">
        <v>130.0</v>
      </c>
      <c r="E566" s="182">
        <f t="shared" si="144"/>
        <v>92040</v>
      </c>
      <c r="F566" s="179">
        <v>204750.0</v>
      </c>
      <c r="G566" s="227">
        <f t="shared" si="145"/>
        <v>299860.3665</v>
      </c>
      <c r="H566" s="227">
        <f t="shared" si="146"/>
        <v>207820.3665</v>
      </c>
      <c r="I566" s="228">
        <f t="shared" si="147"/>
        <v>207820.3665</v>
      </c>
    </row>
    <row r="567" ht="15.75" hidden="1" customHeight="1">
      <c r="A567" s="140" t="s">
        <v>444</v>
      </c>
      <c r="B567" s="179">
        <v>220118.79</v>
      </c>
      <c r="C567" s="180">
        <v>2000.0</v>
      </c>
      <c r="D567" s="181">
        <v>130.0</v>
      </c>
      <c r="E567" s="182">
        <f t="shared" si="144"/>
        <v>92040</v>
      </c>
      <c r="F567" s="179">
        <v>204750.0</v>
      </c>
      <c r="G567" s="227">
        <f t="shared" si="145"/>
        <v>299860.3665</v>
      </c>
      <c r="H567" s="227">
        <f t="shared" si="146"/>
        <v>207820.3665</v>
      </c>
      <c r="I567" s="228">
        <f t="shared" si="147"/>
        <v>207820.3665</v>
      </c>
    </row>
    <row r="568" ht="15.75" hidden="1" customHeight="1">
      <c r="C568" s="46"/>
      <c r="D568" s="46"/>
      <c r="E568" s="45"/>
      <c r="F568" s="45"/>
      <c r="G568" s="191"/>
      <c r="H568" s="191"/>
      <c r="I568" s="191"/>
    </row>
    <row r="569" ht="15.75" hidden="1" customHeight="1">
      <c r="A569" s="229" t="s">
        <v>407</v>
      </c>
      <c r="B569" s="230" t="s">
        <v>257</v>
      </c>
      <c r="C569" s="197" t="s">
        <v>317</v>
      </c>
      <c r="D569" s="231" t="s">
        <v>109</v>
      </c>
      <c r="E569" s="196" t="s">
        <v>232</v>
      </c>
      <c r="F569" s="230" t="s">
        <v>9</v>
      </c>
      <c r="G569" s="232" t="s">
        <v>233</v>
      </c>
      <c r="H569" s="232"/>
      <c r="I569" s="232"/>
    </row>
    <row r="570" ht="15.75" hidden="1" customHeight="1">
      <c r="A570" s="140" t="s">
        <v>401</v>
      </c>
      <c r="B570" s="179">
        <v>41953.0</v>
      </c>
      <c r="C570" s="180">
        <v>2000.0</v>
      </c>
      <c r="D570" s="181">
        <v>40.0</v>
      </c>
      <c r="E570" s="182">
        <f>D570*$C$559</f>
        <v>28320</v>
      </c>
      <c r="F570" s="179">
        <v>63000.0</v>
      </c>
      <c r="G570" s="227">
        <f>SUM(B570:C570)*1.35</f>
        <v>59336.55</v>
      </c>
      <c r="H570" s="227">
        <f>G570-E570</f>
        <v>31016.55</v>
      </c>
      <c r="I570" s="228">
        <f>IF(AND(OR(F570="",E570&lt;(SUM(B570:C570)*(1+$I$279))),H570&gt;=20000),H570,"No Cobrar")</f>
        <v>31016.55</v>
      </c>
    </row>
    <row r="571" ht="15.75" hidden="1" customHeight="1">
      <c r="C571" s="46"/>
      <c r="D571" s="46"/>
      <c r="E571" s="45"/>
      <c r="F571" s="45"/>
      <c r="G571" s="191"/>
      <c r="H571" s="191"/>
      <c r="I571" s="191"/>
    </row>
    <row r="572" ht="15.75" hidden="1" customHeight="1">
      <c r="A572" s="229" t="s">
        <v>445</v>
      </c>
      <c r="B572" s="230" t="s">
        <v>257</v>
      </c>
      <c r="C572" s="197" t="s">
        <v>317</v>
      </c>
      <c r="D572" s="231" t="s">
        <v>109</v>
      </c>
      <c r="E572" s="196" t="s">
        <v>232</v>
      </c>
      <c r="F572" s="230" t="s">
        <v>9</v>
      </c>
      <c r="G572" s="232" t="s">
        <v>233</v>
      </c>
      <c r="H572" s="232"/>
      <c r="I572" s="232"/>
    </row>
    <row r="573" ht="15.75" hidden="1" customHeight="1">
      <c r="A573" s="140" t="s">
        <v>307</v>
      </c>
      <c r="B573" s="233">
        <v>63587.15</v>
      </c>
      <c r="C573" s="180">
        <v>2000.0</v>
      </c>
      <c r="D573" s="181">
        <v>50.0</v>
      </c>
      <c r="E573" s="182">
        <f t="shared" ref="E573:E576" si="148">D573*$C$559</f>
        <v>35400</v>
      </c>
      <c r="F573" s="179">
        <v>78750.0</v>
      </c>
      <c r="G573" s="227">
        <f t="shared" ref="G573:G576" si="149">SUM(B573:C573)*1.35</f>
        <v>88542.6525</v>
      </c>
      <c r="H573" s="227">
        <f t="shared" ref="H573:H576" si="150">G573-E573</f>
        <v>53142.6525</v>
      </c>
      <c r="I573" s="228">
        <f t="shared" ref="I573:I576" si="151">IF(AND(OR(F573="",E573&lt;(SUM(B573:C573)*(1+$I$279))),H573&gt;=20000),H573,"No Cobrar")</f>
        <v>53142.6525</v>
      </c>
    </row>
    <row r="574" ht="15.75" hidden="1" customHeight="1">
      <c r="A574" s="140" t="s">
        <v>402</v>
      </c>
      <c r="B574" s="233">
        <v>63587.15</v>
      </c>
      <c r="C574" s="180">
        <v>2000.0</v>
      </c>
      <c r="D574" s="181">
        <v>50.0</v>
      </c>
      <c r="E574" s="182">
        <f t="shared" si="148"/>
        <v>35400</v>
      </c>
      <c r="F574" s="179">
        <v>78750.0</v>
      </c>
      <c r="G574" s="227">
        <f t="shared" si="149"/>
        <v>88542.6525</v>
      </c>
      <c r="H574" s="227">
        <f t="shared" si="150"/>
        <v>53142.6525</v>
      </c>
      <c r="I574" s="228">
        <f t="shared" si="151"/>
        <v>53142.6525</v>
      </c>
    </row>
    <row r="575" ht="15.75" hidden="1" customHeight="1">
      <c r="A575" s="140" t="s">
        <v>397</v>
      </c>
      <c r="B575" s="179">
        <v>220118.79</v>
      </c>
      <c r="C575" s="180">
        <v>2000.0</v>
      </c>
      <c r="D575" s="181">
        <v>130.0</v>
      </c>
      <c r="E575" s="182">
        <f t="shared" si="148"/>
        <v>92040</v>
      </c>
      <c r="F575" s="179">
        <v>204750.0</v>
      </c>
      <c r="G575" s="227">
        <f t="shared" si="149"/>
        <v>299860.3665</v>
      </c>
      <c r="H575" s="227">
        <f t="shared" si="150"/>
        <v>207820.3665</v>
      </c>
      <c r="I575" s="228">
        <f t="shared" si="151"/>
        <v>207820.3665</v>
      </c>
    </row>
    <row r="576" ht="15.75" hidden="1" customHeight="1">
      <c r="A576" s="140" t="s">
        <v>398</v>
      </c>
      <c r="B576" s="179">
        <v>220118.79</v>
      </c>
      <c r="C576" s="180">
        <v>2000.0</v>
      </c>
      <c r="D576" s="181">
        <v>130.0</v>
      </c>
      <c r="E576" s="182">
        <f t="shared" si="148"/>
        <v>92040</v>
      </c>
      <c r="F576" s="179">
        <v>204750.0</v>
      </c>
      <c r="G576" s="227">
        <f t="shared" si="149"/>
        <v>299860.3665</v>
      </c>
      <c r="H576" s="227">
        <f t="shared" si="150"/>
        <v>207820.3665</v>
      </c>
      <c r="I576" s="228">
        <f t="shared" si="151"/>
        <v>207820.3665</v>
      </c>
    </row>
    <row r="577" ht="15.75" hidden="1" customHeight="1">
      <c r="C577" s="46"/>
      <c r="D577" s="46"/>
      <c r="E577" s="45"/>
      <c r="F577" s="45"/>
      <c r="G577" s="191"/>
      <c r="H577" s="191"/>
      <c r="I577" s="191"/>
    </row>
    <row r="578" ht="15.75" hidden="1" customHeight="1">
      <c r="A578" s="229" t="s">
        <v>446</v>
      </c>
      <c r="B578" s="230" t="s">
        <v>257</v>
      </c>
      <c r="C578" s="197" t="s">
        <v>317</v>
      </c>
      <c r="D578" s="231" t="s">
        <v>109</v>
      </c>
      <c r="E578" s="196" t="s">
        <v>232</v>
      </c>
      <c r="F578" s="230" t="s">
        <v>9</v>
      </c>
      <c r="G578" s="232" t="s">
        <v>233</v>
      </c>
      <c r="H578" s="232"/>
      <c r="I578" s="232"/>
    </row>
    <row r="579" ht="15.75" hidden="1" customHeight="1">
      <c r="A579" s="140" t="s">
        <v>447</v>
      </c>
      <c r="B579" s="179">
        <v>162006.7</v>
      </c>
      <c r="C579" s="180">
        <v>2000.0</v>
      </c>
      <c r="D579" s="181"/>
      <c r="E579" s="182">
        <f>D579*$C$559</f>
        <v>0</v>
      </c>
      <c r="F579" s="179"/>
      <c r="G579" s="227">
        <f>SUM(B579:C579)*1.35</f>
        <v>221409.045</v>
      </c>
      <c r="H579" s="227">
        <f>G579-E579</f>
        <v>221409.045</v>
      </c>
      <c r="I579" s="228">
        <f>IF(AND(OR(F579="",E579&lt;(SUM(B579:C579)*(1+$I$279))),H579&gt;=20000),H579,"No Cobrar")</f>
        <v>221409.045</v>
      </c>
    </row>
    <row r="580" ht="15.75" hidden="1" customHeight="1">
      <c r="C580" s="46"/>
      <c r="D580" s="46"/>
      <c r="E580" s="45"/>
      <c r="F580" s="45"/>
      <c r="G580" s="191"/>
      <c r="H580" s="191"/>
      <c r="I580" s="191"/>
    </row>
    <row r="581" ht="15.75" hidden="1" customHeight="1">
      <c r="A581" s="229" t="s">
        <v>448</v>
      </c>
      <c r="B581" s="230" t="s">
        <v>257</v>
      </c>
      <c r="C581" s="197" t="s">
        <v>317</v>
      </c>
      <c r="D581" s="231" t="s">
        <v>109</v>
      </c>
      <c r="E581" s="196" t="s">
        <v>232</v>
      </c>
      <c r="F581" s="230" t="s">
        <v>9</v>
      </c>
      <c r="G581" s="232" t="s">
        <v>233</v>
      </c>
      <c r="H581" s="232"/>
      <c r="I581" s="232"/>
    </row>
    <row r="582" ht="15.75" hidden="1" customHeight="1">
      <c r="A582" s="140" t="s">
        <v>449</v>
      </c>
      <c r="B582" s="179">
        <v>1303924.0</v>
      </c>
      <c r="C582" s="180">
        <v>2000.0</v>
      </c>
      <c r="D582" s="181">
        <v>300.0</v>
      </c>
      <c r="E582" s="182">
        <f>D582*$C$559</f>
        <v>212400</v>
      </c>
      <c r="F582" s="179"/>
      <c r="G582" s="227">
        <f>SUM(B582:C582)*1.35</f>
        <v>1762997.4</v>
      </c>
      <c r="H582" s="227">
        <f>G582-E582</f>
        <v>1550597.4</v>
      </c>
      <c r="I582" s="228">
        <f>IF(AND(OR(F582="",E582&lt;(SUM(B582:C582)*(1+$I$279))),H582&gt;=20000),H582,"No Cobrar")</f>
        <v>1550597.4</v>
      </c>
    </row>
    <row r="583" ht="15.75" hidden="1" customHeight="1">
      <c r="C583" s="46"/>
      <c r="D583" s="46"/>
      <c r="E583" s="45"/>
      <c r="F583" s="45"/>
      <c r="G583" s="191"/>
      <c r="H583" s="191"/>
      <c r="I583" s="191"/>
    </row>
    <row r="584" ht="15.75" hidden="1" customHeight="1">
      <c r="A584" s="229" t="s">
        <v>450</v>
      </c>
      <c r="B584" s="230" t="s">
        <v>257</v>
      </c>
      <c r="C584" s="197" t="s">
        <v>317</v>
      </c>
      <c r="D584" s="231" t="s">
        <v>109</v>
      </c>
      <c r="E584" s="196" t="s">
        <v>232</v>
      </c>
      <c r="F584" s="230" t="s">
        <v>9</v>
      </c>
      <c r="G584" s="232" t="s">
        <v>233</v>
      </c>
      <c r="H584" s="232"/>
      <c r="I584" s="232"/>
    </row>
    <row r="585" ht="15.75" hidden="1" customHeight="1">
      <c r="A585" s="140" t="s">
        <v>307</v>
      </c>
      <c r="B585" s="233">
        <v>63587.15</v>
      </c>
      <c r="C585" s="180">
        <v>2000.0</v>
      </c>
      <c r="D585" s="181">
        <v>50.0</v>
      </c>
      <c r="E585" s="182">
        <f t="shared" ref="E585:E586" si="152">D585*$C$559</f>
        <v>35400</v>
      </c>
      <c r="F585" s="179">
        <v>78750.0</v>
      </c>
      <c r="G585" s="227">
        <f t="shared" ref="G585:G586" si="153">SUM(B585:C585)*1.35</f>
        <v>88542.6525</v>
      </c>
      <c r="H585" s="227">
        <f t="shared" ref="H585:H586" si="154">G585-E585</f>
        <v>53142.6525</v>
      </c>
      <c r="I585" s="228">
        <f t="shared" ref="I585:I586" si="155">IF(AND(OR(F585="",E585&lt;(SUM(B585:C585)*(1+$I$279))),H585&gt;=20000),H585,"No Cobrar")</f>
        <v>53142.6525</v>
      </c>
    </row>
    <row r="586" ht="15.75" hidden="1" customHeight="1">
      <c r="A586" s="140" t="s">
        <v>334</v>
      </c>
      <c r="B586" s="233">
        <v>63587.15</v>
      </c>
      <c r="C586" s="180">
        <v>2000.0</v>
      </c>
      <c r="D586" s="181">
        <v>50.0</v>
      </c>
      <c r="E586" s="182">
        <f t="shared" si="152"/>
        <v>35400</v>
      </c>
      <c r="F586" s="179">
        <v>78750.0</v>
      </c>
      <c r="G586" s="227">
        <f t="shared" si="153"/>
        <v>88542.6525</v>
      </c>
      <c r="H586" s="227">
        <f t="shared" si="154"/>
        <v>53142.6525</v>
      </c>
      <c r="I586" s="228">
        <f t="shared" si="155"/>
        <v>53142.6525</v>
      </c>
    </row>
    <row r="587" ht="15.75" hidden="1" customHeight="1">
      <c r="C587" s="46"/>
      <c r="D587" s="46"/>
      <c r="E587" s="45"/>
      <c r="F587" s="45"/>
      <c r="G587" s="191"/>
      <c r="H587" s="191"/>
      <c r="I587" s="191"/>
    </row>
    <row r="588" ht="15.75" hidden="1" customHeight="1">
      <c r="A588" s="229" t="s">
        <v>451</v>
      </c>
      <c r="B588" s="230" t="s">
        <v>257</v>
      </c>
      <c r="C588" s="197" t="s">
        <v>317</v>
      </c>
      <c r="D588" s="231" t="s">
        <v>109</v>
      </c>
      <c r="E588" s="196" t="s">
        <v>232</v>
      </c>
      <c r="F588" s="230" t="s">
        <v>9</v>
      </c>
      <c r="G588" s="232" t="s">
        <v>233</v>
      </c>
      <c r="H588" s="232"/>
      <c r="I588" s="232"/>
    </row>
    <row r="589" ht="15.75" hidden="1" customHeight="1">
      <c r="A589" s="198" t="s">
        <v>401</v>
      </c>
      <c r="B589" s="233">
        <v>41953.0</v>
      </c>
      <c r="C589" s="180">
        <v>2000.0</v>
      </c>
      <c r="D589" s="181">
        <v>40.0</v>
      </c>
      <c r="E589" s="182">
        <f t="shared" ref="E589:E592" si="156">D589*$C$559</f>
        <v>28320</v>
      </c>
      <c r="F589" s="179">
        <v>63000.0</v>
      </c>
      <c r="G589" s="227">
        <f t="shared" ref="G589:G592" si="157">SUM(B589:C589)*1.35</f>
        <v>59336.55</v>
      </c>
      <c r="H589" s="227">
        <f t="shared" ref="H589:H592" si="158">G589-E589</f>
        <v>31016.55</v>
      </c>
      <c r="I589" s="228">
        <f t="shared" ref="I589:I592" si="159">IF(AND(OR(F589="",E589&lt;(SUM(B589:C589)*(1+$I$279))),H589&gt;=20000),H589,"No Cobrar")</f>
        <v>31016.55</v>
      </c>
    </row>
    <row r="590" ht="15.75" hidden="1" customHeight="1">
      <c r="A590" s="198" t="s">
        <v>402</v>
      </c>
      <c r="B590" s="233">
        <v>63587.15</v>
      </c>
      <c r="C590" s="180">
        <v>2000.0</v>
      </c>
      <c r="D590" s="181">
        <v>50.0</v>
      </c>
      <c r="E590" s="182">
        <f t="shared" si="156"/>
        <v>35400</v>
      </c>
      <c r="F590" s="179">
        <v>78750.0</v>
      </c>
      <c r="G590" s="227">
        <f t="shared" si="157"/>
        <v>88542.6525</v>
      </c>
      <c r="H590" s="227">
        <f t="shared" si="158"/>
        <v>53142.6525</v>
      </c>
      <c r="I590" s="228">
        <f t="shared" si="159"/>
        <v>53142.6525</v>
      </c>
    </row>
    <row r="591" ht="15.75" hidden="1" customHeight="1">
      <c r="A591" s="198" t="s">
        <v>452</v>
      </c>
      <c r="B591" s="233">
        <v>37944.0</v>
      </c>
      <c r="C591" s="180">
        <v>2000.0</v>
      </c>
      <c r="D591" s="181">
        <v>40.0</v>
      </c>
      <c r="E591" s="182">
        <f t="shared" si="156"/>
        <v>28320</v>
      </c>
      <c r="F591" s="179">
        <v>63000.0</v>
      </c>
      <c r="G591" s="227">
        <f t="shared" si="157"/>
        <v>53924.4</v>
      </c>
      <c r="H591" s="227">
        <f t="shared" si="158"/>
        <v>25604.4</v>
      </c>
      <c r="I591" s="228">
        <f t="shared" si="159"/>
        <v>25604.4</v>
      </c>
    </row>
    <row r="592" ht="15.75" hidden="1" customHeight="1">
      <c r="A592" s="198" t="s">
        <v>307</v>
      </c>
      <c r="B592" s="233">
        <v>63587.15</v>
      </c>
      <c r="C592" s="180">
        <v>2000.0</v>
      </c>
      <c r="D592" s="181">
        <v>50.0</v>
      </c>
      <c r="E592" s="182">
        <f t="shared" si="156"/>
        <v>35400</v>
      </c>
      <c r="F592" s="179">
        <v>78750.0</v>
      </c>
      <c r="G592" s="227">
        <f t="shared" si="157"/>
        <v>88542.6525</v>
      </c>
      <c r="H592" s="227">
        <f t="shared" si="158"/>
        <v>53142.6525</v>
      </c>
      <c r="I592" s="228">
        <f t="shared" si="159"/>
        <v>53142.6525</v>
      </c>
    </row>
    <row r="593" ht="15.75" hidden="1" customHeight="1">
      <c r="B593" s="179"/>
      <c r="C593" s="180"/>
      <c r="D593" s="181"/>
      <c r="E593" s="182"/>
      <c r="F593" s="179"/>
      <c r="G593" s="227"/>
      <c r="H593" s="227"/>
      <c r="I593" s="228"/>
    </row>
    <row r="594" ht="15.75" customHeight="1">
      <c r="A594" s="199" t="s">
        <v>453</v>
      </c>
      <c r="B594" s="200" t="s">
        <v>112</v>
      </c>
      <c r="C594" s="234">
        <v>708.0</v>
      </c>
      <c r="D594" s="164"/>
      <c r="E594" s="165"/>
      <c r="F594" s="165"/>
      <c r="G594" s="170"/>
      <c r="H594" s="170"/>
      <c r="I594" s="170"/>
    </row>
    <row r="595" ht="15.75" customHeight="1">
      <c r="A595" s="167"/>
      <c r="B595" s="165"/>
      <c r="C595" s="164"/>
      <c r="D595" s="164"/>
      <c r="E595" s="165"/>
      <c r="F595" s="165"/>
      <c r="G595" s="220"/>
      <c r="H595" s="220"/>
      <c r="I595" s="220"/>
    </row>
    <row r="596" ht="15.75" customHeight="1">
      <c r="A596" s="172" t="s">
        <v>454</v>
      </c>
      <c r="B596" s="235" t="s">
        <v>257</v>
      </c>
      <c r="C596" s="222" t="s">
        <v>317</v>
      </c>
      <c r="D596" s="236" t="s">
        <v>109</v>
      </c>
      <c r="E596" s="224" t="s">
        <v>232</v>
      </c>
      <c r="F596" s="237" t="s">
        <v>9</v>
      </c>
      <c r="G596" s="226" t="s">
        <v>233</v>
      </c>
      <c r="H596" s="226"/>
      <c r="I596" s="226"/>
    </row>
    <row r="597" ht="15.75" customHeight="1">
      <c r="A597" s="178" t="s">
        <v>455</v>
      </c>
      <c r="B597" s="182">
        <v>84000.39</v>
      </c>
      <c r="C597" s="180">
        <v>2000.0</v>
      </c>
      <c r="D597" s="180">
        <v>0.0</v>
      </c>
      <c r="E597" s="182">
        <f>D597*$C$559</f>
        <v>0</v>
      </c>
      <c r="F597" s="165"/>
      <c r="G597" s="227">
        <f>SUM(B597:C597)*1.35</f>
        <v>116100.5265</v>
      </c>
      <c r="H597" s="227">
        <f>G597-E597</f>
        <v>116100.5265</v>
      </c>
      <c r="I597" s="238">
        <f>IF(AND(OR(F597="",E597&lt;(SUM(B597:C597)*(1+$I$279))),H597&gt;=20000),H597,"No Cobrar")</f>
        <v>116100.5265</v>
      </c>
    </row>
    <row r="598" ht="15.75" customHeight="1">
      <c r="A598" s="140" t="s">
        <v>456</v>
      </c>
      <c r="C598" s="46"/>
      <c r="D598" s="46"/>
      <c r="E598" s="45"/>
      <c r="F598" s="45"/>
      <c r="G598" s="191"/>
      <c r="H598" s="191"/>
      <c r="I598" s="191"/>
    </row>
    <row r="599" ht="15.75" customHeight="1">
      <c r="A599" s="140" t="s">
        <v>457</v>
      </c>
      <c r="C599" s="46"/>
      <c r="D599" s="46"/>
      <c r="E599" s="45"/>
      <c r="F599" s="45"/>
      <c r="G599" s="191"/>
      <c r="H599" s="191"/>
      <c r="I599" s="191"/>
    </row>
    <row r="600" ht="15.75" customHeight="1">
      <c r="A600" s="140" t="s">
        <v>458</v>
      </c>
      <c r="C600" s="46"/>
      <c r="D600" s="46"/>
      <c r="E600" s="45"/>
      <c r="F600" s="45"/>
      <c r="G600" s="191"/>
      <c r="H600" s="191"/>
      <c r="I600" s="191"/>
    </row>
    <row r="601" ht="15.75" customHeight="1">
      <c r="A601" s="140" t="s">
        <v>459</v>
      </c>
      <c r="C601" s="46"/>
      <c r="D601" s="46"/>
      <c r="E601" s="45"/>
      <c r="F601" s="45"/>
      <c r="G601" s="191"/>
      <c r="H601" s="191"/>
      <c r="I601" s="191"/>
    </row>
    <row r="602" ht="15.75" customHeight="1">
      <c r="A602" s="140" t="s">
        <v>460</v>
      </c>
      <c r="C602" s="46"/>
      <c r="D602" s="46"/>
      <c r="E602" s="45"/>
      <c r="F602" s="45"/>
      <c r="G602" s="191"/>
      <c r="H602" s="191"/>
      <c r="I602" s="191"/>
    </row>
    <row r="603" ht="15.75" customHeight="1">
      <c r="A603" s="140" t="s">
        <v>138</v>
      </c>
      <c r="C603" s="46"/>
      <c r="D603" s="46"/>
      <c r="E603" s="45"/>
      <c r="F603" s="45"/>
      <c r="G603" s="191"/>
      <c r="H603" s="191"/>
      <c r="I603" s="191"/>
    </row>
    <row r="604" ht="15.75" customHeight="1">
      <c r="A604" s="140" t="s">
        <v>139</v>
      </c>
      <c r="C604" s="46"/>
      <c r="D604" s="46"/>
      <c r="E604" s="45"/>
      <c r="F604" s="45"/>
      <c r="G604" s="191"/>
      <c r="H604" s="191"/>
      <c r="I604" s="191"/>
    </row>
    <row r="605" ht="15.75" customHeight="1">
      <c r="A605" s="140" t="s">
        <v>461</v>
      </c>
      <c r="C605" s="46"/>
      <c r="D605" s="46"/>
      <c r="E605" s="45"/>
      <c r="F605" s="45"/>
      <c r="G605" s="191"/>
      <c r="H605" s="191"/>
      <c r="I605" s="191"/>
    </row>
    <row r="606" ht="15.75" customHeight="1">
      <c r="A606" s="140" t="s">
        <v>462</v>
      </c>
      <c r="C606" s="46"/>
      <c r="D606" s="46"/>
      <c r="E606" s="45"/>
      <c r="F606" s="45"/>
      <c r="G606" s="191"/>
      <c r="H606" s="191"/>
      <c r="I606" s="191"/>
    </row>
    <row r="607" ht="15.75" customHeight="1">
      <c r="A607" s="140" t="s">
        <v>463</v>
      </c>
      <c r="C607" s="46"/>
      <c r="D607" s="46"/>
      <c r="E607" s="45"/>
      <c r="F607" s="45"/>
      <c r="G607" s="191"/>
      <c r="H607" s="191"/>
      <c r="I607" s="191"/>
    </row>
    <row r="608" ht="15.75" customHeight="1">
      <c r="A608" s="140" t="s">
        <v>464</v>
      </c>
      <c r="C608" s="46"/>
      <c r="D608" s="46"/>
      <c r="E608" s="45"/>
      <c r="F608" s="45"/>
      <c r="G608" s="191"/>
      <c r="H608" s="191"/>
      <c r="I608" s="191"/>
    </row>
    <row r="609" ht="15.75" customHeight="1">
      <c r="C609" s="46"/>
      <c r="D609" s="46"/>
      <c r="E609" s="45"/>
      <c r="F609" s="45"/>
      <c r="G609" s="191"/>
      <c r="H609" s="191"/>
      <c r="I609" s="191"/>
    </row>
    <row r="610" ht="15.75" customHeight="1">
      <c r="A610" s="172" t="s">
        <v>465</v>
      </c>
      <c r="B610" s="235" t="s">
        <v>257</v>
      </c>
      <c r="C610" s="222" t="s">
        <v>317</v>
      </c>
      <c r="D610" s="236" t="s">
        <v>109</v>
      </c>
      <c r="E610" s="224" t="s">
        <v>232</v>
      </c>
      <c r="F610" s="237" t="s">
        <v>9</v>
      </c>
      <c r="G610" s="226" t="s">
        <v>233</v>
      </c>
      <c r="H610" s="226"/>
      <c r="I610" s="226"/>
    </row>
    <row r="611" ht="15.75" customHeight="1">
      <c r="A611" s="178" t="s">
        <v>466</v>
      </c>
      <c r="B611" s="182">
        <v>84000.39</v>
      </c>
      <c r="C611" s="180">
        <v>2000.0</v>
      </c>
      <c r="D611" s="180">
        <v>0.0</v>
      </c>
      <c r="E611" s="182">
        <f>D611*$C$559</f>
        <v>0</v>
      </c>
      <c r="F611" s="165"/>
      <c r="G611" s="227">
        <f>SUM(B611:C611)*1.35</f>
        <v>116100.5265</v>
      </c>
      <c r="H611" s="227">
        <f>G611-E611</f>
        <v>116100.5265</v>
      </c>
      <c r="I611" s="238">
        <f>IF(AND(OR(F611="",E611&lt;(SUM(B611:C611)*(1+$I$279))),H611&gt;=20000),H611,"No Cobrar")</f>
        <v>116100.5265</v>
      </c>
    </row>
    <row r="612" ht="15.75" customHeight="1">
      <c r="A612" s="140" t="s">
        <v>458</v>
      </c>
      <c r="C612" s="46"/>
      <c r="D612" s="46"/>
      <c r="E612" s="45"/>
      <c r="F612" s="45"/>
      <c r="G612" s="191"/>
      <c r="H612" s="191"/>
      <c r="I612" s="191"/>
    </row>
    <row r="613" ht="15.75" customHeight="1">
      <c r="A613" s="140" t="s">
        <v>467</v>
      </c>
      <c r="C613" s="46"/>
      <c r="D613" s="46"/>
      <c r="E613" s="45"/>
      <c r="F613" s="45"/>
      <c r="G613" s="191"/>
      <c r="H613" s="191"/>
      <c r="I613" s="191"/>
    </row>
    <row r="614" ht="15.75" customHeight="1">
      <c r="A614" s="140" t="s">
        <v>137</v>
      </c>
      <c r="C614" s="46"/>
      <c r="D614" s="46"/>
      <c r="E614" s="45"/>
      <c r="F614" s="45"/>
      <c r="G614" s="191"/>
      <c r="H614" s="191"/>
      <c r="I614" s="191"/>
    </row>
    <row r="615" ht="15.75" customHeight="1">
      <c r="A615" s="140" t="s">
        <v>138</v>
      </c>
      <c r="C615" s="46"/>
      <c r="D615" s="46"/>
      <c r="E615" s="45"/>
      <c r="F615" s="45"/>
      <c r="G615" s="191"/>
      <c r="H615" s="191"/>
      <c r="I615" s="191"/>
    </row>
    <row r="616" ht="15.75" customHeight="1">
      <c r="A616" s="140" t="s">
        <v>139</v>
      </c>
      <c r="C616" s="46"/>
      <c r="D616" s="46"/>
      <c r="E616" s="45"/>
      <c r="F616" s="45"/>
      <c r="G616" s="191"/>
      <c r="H616" s="191"/>
      <c r="I616" s="191"/>
    </row>
    <row r="617" ht="15.75" customHeight="1">
      <c r="A617" s="140" t="s">
        <v>461</v>
      </c>
      <c r="C617" s="46"/>
      <c r="D617" s="46"/>
      <c r="E617" s="45"/>
      <c r="F617" s="45"/>
      <c r="G617" s="191"/>
      <c r="H617" s="191"/>
      <c r="I617" s="191"/>
    </row>
    <row r="618" ht="15.75" customHeight="1">
      <c r="A618" s="140" t="s">
        <v>468</v>
      </c>
      <c r="C618" s="46"/>
      <c r="D618" s="46"/>
      <c r="E618" s="45"/>
      <c r="F618" s="45"/>
      <c r="G618" s="191"/>
      <c r="H618" s="191"/>
      <c r="I618" s="191"/>
    </row>
    <row r="619" ht="15.75" customHeight="1">
      <c r="A619" s="140" t="s">
        <v>459</v>
      </c>
      <c r="C619" s="46"/>
      <c r="D619" s="46"/>
      <c r="E619" s="45"/>
      <c r="F619" s="45"/>
      <c r="G619" s="191"/>
      <c r="H619" s="191"/>
      <c r="I619" s="191"/>
    </row>
    <row r="620" ht="15.75" customHeight="1">
      <c r="A620" s="140" t="s">
        <v>469</v>
      </c>
      <c r="C620" s="46"/>
      <c r="D620" s="46"/>
      <c r="E620" s="45"/>
      <c r="F620" s="45"/>
      <c r="G620" s="191"/>
      <c r="H620" s="191"/>
      <c r="I620" s="191"/>
    </row>
    <row r="621" ht="15.75" customHeight="1">
      <c r="A621" s="140" t="s">
        <v>464</v>
      </c>
      <c r="C621" s="46"/>
      <c r="D621" s="46"/>
      <c r="E621" s="45"/>
      <c r="F621" s="45"/>
      <c r="G621" s="191"/>
      <c r="H621" s="191"/>
      <c r="I621" s="191"/>
    </row>
    <row r="622" ht="15.75" customHeight="1">
      <c r="C622" s="46"/>
      <c r="D622" s="46"/>
      <c r="E622" s="45"/>
      <c r="F622" s="45"/>
      <c r="G622" s="191"/>
      <c r="H622" s="191"/>
      <c r="I622" s="191"/>
    </row>
    <row r="623" ht="15.75" customHeight="1">
      <c r="C623" s="46"/>
      <c r="D623" s="46"/>
      <c r="E623" s="45"/>
      <c r="F623" s="45"/>
      <c r="G623" s="191"/>
      <c r="H623" s="191"/>
      <c r="I623" s="191"/>
    </row>
    <row r="624" ht="15.75" customHeight="1">
      <c r="C624" s="46"/>
      <c r="D624" s="46"/>
      <c r="E624" s="45"/>
      <c r="F624" s="45"/>
      <c r="G624" s="191"/>
      <c r="H624" s="191"/>
      <c r="I624" s="191"/>
    </row>
    <row r="625" ht="15.75" customHeight="1">
      <c r="C625" s="46"/>
      <c r="D625" s="46"/>
      <c r="E625" s="45"/>
      <c r="F625" s="45"/>
      <c r="G625" s="191"/>
      <c r="H625" s="191"/>
      <c r="I625" s="191"/>
    </row>
    <row r="626" ht="15.75" customHeight="1">
      <c r="C626" s="46"/>
      <c r="D626" s="46"/>
      <c r="E626" s="45"/>
      <c r="F626" s="45"/>
      <c r="G626" s="191"/>
      <c r="H626" s="191"/>
      <c r="I626" s="191"/>
    </row>
    <row r="627" ht="15.75" customHeight="1">
      <c r="C627" s="46"/>
      <c r="D627" s="46"/>
      <c r="E627" s="45"/>
      <c r="F627" s="45"/>
      <c r="G627" s="191"/>
      <c r="H627" s="191"/>
      <c r="I627" s="191"/>
    </row>
    <row r="628" ht="15.75" customHeight="1">
      <c r="C628" s="46"/>
      <c r="D628" s="46"/>
      <c r="E628" s="45"/>
      <c r="F628" s="45"/>
      <c r="G628" s="191"/>
      <c r="H628" s="191"/>
      <c r="I628" s="191"/>
    </row>
    <row r="629" ht="15.75" customHeight="1">
      <c r="C629" s="46"/>
      <c r="D629" s="46"/>
      <c r="E629" s="45"/>
      <c r="F629" s="45"/>
      <c r="G629" s="191"/>
      <c r="H629" s="191"/>
      <c r="I629" s="191"/>
    </row>
    <row r="630" ht="15.75" customHeight="1">
      <c r="C630" s="46"/>
      <c r="D630" s="46"/>
      <c r="E630" s="45"/>
      <c r="F630" s="45"/>
      <c r="G630" s="191"/>
      <c r="H630" s="191"/>
      <c r="I630" s="191"/>
    </row>
    <row r="631" ht="15.75" customHeight="1">
      <c r="C631" s="46"/>
      <c r="D631" s="46"/>
      <c r="E631" s="45"/>
      <c r="F631" s="45"/>
      <c r="G631" s="191"/>
      <c r="H631" s="191"/>
      <c r="I631" s="191"/>
    </row>
    <row r="632" ht="15.75" customHeight="1">
      <c r="C632" s="46"/>
      <c r="D632" s="46"/>
      <c r="E632" s="45"/>
      <c r="F632" s="45"/>
      <c r="G632" s="191"/>
      <c r="H632" s="191"/>
      <c r="I632" s="191"/>
    </row>
    <row r="633" ht="15.75" customHeight="1">
      <c r="C633" s="46"/>
      <c r="D633" s="46"/>
      <c r="E633" s="45"/>
      <c r="F633" s="45"/>
      <c r="G633" s="191"/>
      <c r="H633" s="191"/>
      <c r="I633" s="191"/>
    </row>
    <row r="634" ht="15.75" customHeight="1">
      <c r="C634" s="46"/>
      <c r="D634" s="46"/>
      <c r="E634" s="45"/>
      <c r="F634" s="45"/>
      <c r="G634" s="191"/>
      <c r="H634" s="191"/>
      <c r="I634" s="191"/>
    </row>
    <row r="635" ht="15.75" customHeight="1">
      <c r="C635" s="46"/>
      <c r="D635" s="46"/>
      <c r="E635" s="45"/>
      <c r="F635" s="45"/>
      <c r="G635" s="191"/>
      <c r="H635" s="191"/>
      <c r="I635" s="191"/>
    </row>
    <row r="636" ht="15.75" customHeight="1">
      <c r="C636" s="46"/>
      <c r="D636" s="46"/>
      <c r="E636" s="45"/>
      <c r="F636" s="45"/>
      <c r="G636" s="191"/>
      <c r="H636" s="191"/>
      <c r="I636" s="191"/>
    </row>
    <row r="637" ht="15.75" customHeight="1">
      <c r="C637" s="46"/>
      <c r="D637" s="46"/>
      <c r="E637" s="45"/>
      <c r="F637" s="45"/>
      <c r="G637" s="191"/>
      <c r="H637" s="191"/>
      <c r="I637" s="191"/>
    </row>
    <row r="638" ht="15.75" customHeight="1">
      <c r="C638" s="46"/>
      <c r="D638" s="46"/>
      <c r="E638" s="45"/>
      <c r="F638" s="45"/>
      <c r="G638" s="191"/>
      <c r="H638" s="191"/>
      <c r="I638" s="191"/>
    </row>
    <row r="639" ht="15.75" customHeight="1">
      <c r="C639" s="46"/>
      <c r="D639" s="46"/>
      <c r="E639" s="45"/>
      <c r="F639" s="45"/>
      <c r="G639" s="191"/>
      <c r="H639" s="191"/>
      <c r="I639" s="191"/>
    </row>
    <row r="640" ht="15.75" customHeight="1">
      <c r="C640" s="46"/>
      <c r="D640" s="46"/>
      <c r="E640" s="45"/>
      <c r="F640" s="45"/>
      <c r="G640" s="191"/>
      <c r="H640" s="191"/>
      <c r="I640" s="191"/>
    </row>
    <row r="641" ht="15.75" customHeight="1">
      <c r="C641" s="46"/>
      <c r="D641" s="46"/>
      <c r="E641" s="45"/>
      <c r="F641" s="45"/>
      <c r="G641" s="191"/>
      <c r="H641" s="191"/>
      <c r="I641" s="191"/>
    </row>
    <row r="642" ht="15.75" customHeight="1">
      <c r="C642" s="46"/>
      <c r="D642" s="46"/>
      <c r="E642" s="45"/>
      <c r="F642" s="45"/>
      <c r="G642" s="191"/>
      <c r="H642" s="191"/>
      <c r="I642" s="191"/>
    </row>
    <row r="643" ht="15.75" customHeight="1">
      <c r="C643" s="46"/>
      <c r="D643" s="46"/>
      <c r="E643" s="45"/>
      <c r="F643" s="45"/>
      <c r="G643" s="191"/>
      <c r="H643" s="191"/>
      <c r="I643" s="191"/>
    </row>
    <row r="644" ht="15.75" customHeight="1">
      <c r="C644" s="46"/>
      <c r="D644" s="46"/>
      <c r="E644" s="45"/>
      <c r="F644" s="45"/>
      <c r="G644" s="191"/>
      <c r="H644" s="191"/>
      <c r="I644" s="191"/>
    </row>
    <row r="645" ht="15.75" customHeight="1">
      <c r="C645" s="46"/>
      <c r="D645" s="46"/>
      <c r="E645" s="45"/>
      <c r="F645" s="45"/>
      <c r="G645" s="191"/>
      <c r="H645" s="191"/>
      <c r="I645" s="191"/>
    </row>
    <row r="646" ht="15.75" customHeight="1">
      <c r="C646" s="46"/>
      <c r="D646" s="46"/>
      <c r="E646" s="45"/>
      <c r="F646" s="45"/>
      <c r="G646" s="191"/>
      <c r="H646" s="191"/>
      <c r="I646" s="191"/>
    </row>
    <row r="647" ht="15.75" customHeight="1">
      <c r="C647" s="46"/>
      <c r="D647" s="46"/>
      <c r="E647" s="45"/>
      <c r="F647" s="45"/>
      <c r="G647" s="191"/>
      <c r="H647" s="191"/>
      <c r="I647" s="191"/>
    </row>
    <row r="648" ht="15.75" customHeight="1">
      <c r="C648" s="46"/>
      <c r="D648" s="46"/>
      <c r="E648" s="45"/>
      <c r="F648" s="45"/>
      <c r="G648" s="191"/>
      <c r="H648" s="191"/>
      <c r="I648" s="191"/>
    </row>
    <row r="649" ht="15.75" customHeight="1">
      <c r="C649" s="46"/>
      <c r="D649" s="46"/>
      <c r="E649" s="45"/>
      <c r="F649" s="45"/>
      <c r="G649" s="191"/>
      <c r="H649" s="191"/>
      <c r="I649" s="191"/>
    </row>
    <row r="650" ht="15.75" customHeight="1">
      <c r="C650" s="46"/>
      <c r="D650" s="46"/>
      <c r="E650" s="45"/>
      <c r="F650" s="45"/>
      <c r="G650" s="191"/>
      <c r="H650" s="191"/>
      <c r="I650" s="191"/>
    </row>
    <row r="651" ht="15.75" customHeight="1">
      <c r="C651" s="46"/>
      <c r="D651" s="46"/>
      <c r="E651" s="45"/>
      <c r="F651" s="45"/>
      <c r="G651" s="191"/>
      <c r="H651" s="191"/>
      <c r="I651" s="191"/>
    </row>
    <row r="652" ht="15.75" customHeight="1">
      <c r="C652" s="46"/>
      <c r="D652" s="46"/>
      <c r="E652" s="45"/>
      <c r="F652" s="45"/>
      <c r="G652" s="191"/>
      <c r="H652" s="191"/>
      <c r="I652" s="191"/>
    </row>
    <row r="653" ht="15.75" customHeight="1">
      <c r="C653" s="46"/>
      <c r="D653" s="46"/>
      <c r="E653" s="45"/>
      <c r="F653" s="45"/>
      <c r="G653" s="191"/>
      <c r="H653" s="191"/>
      <c r="I653" s="191"/>
    </row>
    <row r="654" ht="15.75" customHeight="1">
      <c r="C654" s="46"/>
      <c r="D654" s="46"/>
      <c r="E654" s="45"/>
      <c r="F654" s="45"/>
      <c r="G654" s="191"/>
      <c r="H654" s="191"/>
      <c r="I654" s="191"/>
    </row>
    <row r="655" ht="15.75" customHeight="1">
      <c r="C655" s="46"/>
      <c r="D655" s="46"/>
      <c r="E655" s="45"/>
      <c r="F655" s="45"/>
      <c r="G655" s="191"/>
      <c r="H655" s="191"/>
      <c r="I655" s="191"/>
    </row>
    <row r="656" ht="15.75" customHeight="1">
      <c r="C656" s="46"/>
      <c r="D656" s="46"/>
      <c r="E656" s="45"/>
      <c r="F656" s="45"/>
      <c r="G656" s="191"/>
      <c r="H656" s="191"/>
      <c r="I656" s="191"/>
    </row>
    <row r="657" ht="15.75" customHeight="1">
      <c r="C657" s="46"/>
      <c r="D657" s="46"/>
      <c r="E657" s="45"/>
      <c r="F657" s="45"/>
      <c r="G657" s="191"/>
      <c r="H657" s="191"/>
      <c r="I657" s="191"/>
    </row>
    <row r="658" ht="15.75" customHeight="1">
      <c r="C658" s="46"/>
      <c r="D658" s="46"/>
      <c r="E658" s="45"/>
      <c r="F658" s="45"/>
      <c r="G658" s="191"/>
      <c r="H658" s="191"/>
      <c r="I658" s="191"/>
    </row>
    <row r="659" ht="15.75" customHeight="1">
      <c r="C659" s="46"/>
      <c r="D659" s="46"/>
      <c r="E659" s="45"/>
      <c r="F659" s="45"/>
      <c r="G659" s="191"/>
      <c r="H659" s="191"/>
      <c r="I659" s="191"/>
    </row>
    <row r="660" ht="15.75" customHeight="1">
      <c r="C660" s="46"/>
      <c r="D660" s="46"/>
      <c r="E660" s="45"/>
      <c r="F660" s="45"/>
      <c r="G660" s="191"/>
      <c r="H660" s="191"/>
      <c r="I660" s="191"/>
    </row>
    <row r="661" ht="15.75" customHeight="1">
      <c r="C661" s="46"/>
      <c r="D661" s="46"/>
      <c r="E661" s="45"/>
      <c r="F661" s="45"/>
      <c r="G661" s="191"/>
      <c r="H661" s="191"/>
      <c r="I661" s="191"/>
    </row>
    <row r="662" ht="15.75" customHeight="1">
      <c r="C662" s="46"/>
      <c r="D662" s="46"/>
      <c r="E662" s="45"/>
      <c r="F662" s="45"/>
      <c r="G662" s="191"/>
      <c r="H662" s="191"/>
      <c r="I662" s="191"/>
    </row>
    <row r="663" ht="15.75" customHeight="1">
      <c r="C663" s="46"/>
      <c r="D663" s="46"/>
      <c r="E663" s="45"/>
      <c r="F663" s="45"/>
      <c r="G663" s="191"/>
      <c r="H663" s="191"/>
      <c r="I663" s="191"/>
    </row>
    <row r="664" ht="15.75" customHeight="1">
      <c r="C664" s="46"/>
      <c r="D664" s="46"/>
      <c r="E664" s="45"/>
      <c r="F664" s="45"/>
      <c r="G664" s="191"/>
      <c r="H664" s="191"/>
      <c r="I664" s="191"/>
    </row>
    <row r="665" ht="15.75" customHeight="1">
      <c r="C665" s="46"/>
      <c r="D665" s="46"/>
      <c r="E665" s="45"/>
      <c r="F665" s="45"/>
      <c r="G665" s="191"/>
      <c r="H665" s="191"/>
      <c r="I665" s="191"/>
    </row>
    <row r="666" ht="15.75" customHeight="1">
      <c r="C666" s="46"/>
      <c r="D666" s="46"/>
      <c r="E666" s="45"/>
      <c r="F666" s="45"/>
      <c r="G666" s="191"/>
      <c r="H666" s="191"/>
      <c r="I666" s="191"/>
    </row>
    <row r="667" ht="15.75" customHeight="1">
      <c r="C667" s="46"/>
      <c r="D667" s="46"/>
      <c r="E667" s="45"/>
      <c r="F667" s="45"/>
      <c r="G667" s="191"/>
      <c r="H667" s="191"/>
      <c r="I667" s="191"/>
    </row>
    <row r="668" ht="15.75" customHeight="1">
      <c r="C668" s="46"/>
      <c r="D668" s="46"/>
      <c r="E668" s="45"/>
      <c r="F668" s="45"/>
      <c r="G668" s="191"/>
      <c r="H668" s="191"/>
      <c r="I668" s="191"/>
    </row>
    <row r="669" ht="15.75" customHeight="1">
      <c r="C669" s="46"/>
      <c r="D669" s="46"/>
      <c r="E669" s="45"/>
      <c r="F669" s="45"/>
      <c r="G669" s="191"/>
      <c r="H669" s="191"/>
      <c r="I669" s="191"/>
    </row>
    <row r="670" ht="15.75" customHeight="1">
      <c r="C670" s="46"/>
      <c r="D670" s="46"/>
      <c r="E670" s="45"/>
      <c r="F670" s="45"/>
      <c r="G670" s="191"/>
      <c r="H670" s="191"/>
      <c r="I670" s="191"/>
    </row>
    <row r="671" ht="15.75" customHeight="1">
      <c r="C671" s="46"/>
      <c r="D671" s="46"/>
      <c r="E671" s="45"/>
      <c r="F671" s="45"/>
      <c r="G671" s="191"/>
      <c r="H671" s="191"/>
      <c r="I671" s="191"/>
    </row>
    <row r="672" ht="15.75" customHeight="1">
      <c r="C672" s="46"/>
      <c r="D672" s="46"/>
      <c r="E672" s="45"/>
      <c r="F672" s="45"/>
      <c r="G672" s="191"/>
      <c r="H672" s="191"/>
      <c r="I672" s="191"/>
    </row>
    <row r="673" ht="15.75" customHeight="1">
      <c r="C673" s="46"/>
      <c r="D673" s="46"/>
      <c r="E673" s="45"/>
      <c r="F673" s="45"/>
      <c r="G673" s="191"/>
      <c r="H673" s="191"/>
      <c r="I673" s="191"/>
    </row>
    <row r="674" ht="15.75" customHeight="1">
      <c r="C674" s="46"/>
      <c r="D674" s="46"/>
      <c r="E674" s="45"/>
      <c r="F674" s="45"/>
      <c r="G674" s="191"/>
      <c r="H674" s="191"/>
      <c r="I674" s="191"/>
    </row>
    <row r="675" ht="15.75" customHeight="1">
      <c r="C675" s="46"/>
      <c r="D675" s="46"/>
      <c r="E675" s="45"/>
      <c r="F675" s="45"/>
      <c r="G675" s="191"/>
      <c r="H675" s="191"/>
      <c r="I675" s="191"/>
    </row>
    <row r="676" ht="15.75" customHeight="1">
      <c r="C676" s="46"/>
      <c r="D676" s="46"/>
      <c r="E676" s="45"/>
      <c r="F676" s="45"/>
      <c r="G676" s="191"/>
      <c r="H676" s="191"/>
      <c r="I676" s="191"/>
    </row>
    <row r="677" ht="15.75" customHeight="1">
      <c r="C677" s="46"/>
      <c r="D677" s="46"/>
      <c r="E677" s="45"/>
      <c r="F677" s="45"/>
      <c r="G677" s="191"/>
      <c r="H677" s="191"/>
      <c r="I677" s="191"/>
    </row>
    <row r="678" ht="15.75" customHeight="1">
      <c r="C678" s="46"/>
      <c r="D678" s="46"/>
      <c r="E678" s="45"/>
      <c r="F678" s="45"/>
      <c r="G678" s="191"/>
      <c r="H678" s="191"/>
      <c r="I678" s="191"/>
    </row>
    <row r="679" ht="15.75" customHeight="1">
      <c r="C679" s="46"/>
      <c r="D679" s="46"/>
      <c r="E679" s="45"/>
      <c r="F679" s="45"/>
      <c r="G679" s="191"/>
      <c r="H679" s="191"/>
      <c r="I679" s="191"/>
    </row>
    <row r="680" ht="15.75" customHeight="1">
      <c r="C680" s="46"/>
      <c r="D680" s="46"/>
      <c r="E680" s="45"/>
      <c r="F680" s="45"/>
      <c r="G680" s="191"/>
      <c r="H680" s="191"/>
      <c r="I680" s="191"/>
    </row>
    <row r="681" ht="15.75" customHeight="1">
      <c r="C681" s="46"/>
      <c r="D681" s="46"/>
      <c r="E681" s="45"/>
      <c r="F681" s="45"/>
      <c r="G681" s="191"/>
      <c r="H681" s="191"/>
      <c r="I681" s="191"/>
    </row>
    <row r="682" ht="15.75" customHeight="1">
      <c r="C682" s="46"/>
      <c r="D682" s="46"/>
      <c r="E682" s="45"/>
      <c r="F682" s="45"/>
      <c r="G682" s="191"/>
      <c r="H682" s="191"/>
      <c r="I682" s="191"/>
    </row>
    <row r="683" ht="15.75" customHeight="1">
      <c r="C683" s="46"/>
      <c r="D683" s="46"/>
      <c r="E683" s="45"/>
      <c r="F683" s="45"/>
      <c r="G683" s="191"/>
      <c r="H683" s="191"/>
      <c r="I683" s="191"/>
    </row>
    <row r="684" ht="15.75" customHeight="1">
      <c r="C684" s="46"/>
      <c r="D684" s="46"/>
      <c r="E684" s="45"/>
      <c r="F684" s="45"/>
      <c r="G684" s="191"/>
      <c r="H684" s="191"/>
      <c r="I684" s="191"/>
    </row>
    <row r="685" ht="15.75" customHeight="1">
      <c r="C685" s="46"/>
      <c r="D685" s="46"/>
      <c r="E685" s="45"/>
      <c r="F685" s="45"/>
      <c r="G685" s="191"/>
      <c r="H685" s="191"/>
      <c r="I685" s="191"/>
    </row>
    <row r="686" ht="15.75" customHeight="1">
      <c r="C686" s="46"/>
      <c r="D686" s="46"/>
      <c r="E686" s="45"/>
      <c r="F686" s="45"/>
      <c r="G686" s="191"/>
      <c r="H686" s="191"/>
      <c r="I686" s="191"/>
    </row>
    <row r="687" ht="15.75" customHeight="1">
      <c r="C687" s="46"/>
      <c r="D687" s="46"/>
      <c r="E687" s="45"/>
      <c r="F687" s="45"/>
      <c r="G687" s="191"/>
      <c r="H687" s="191"/>
      <c r="I687" s="191"/>
    </row>
    <row r="688" ht="15.75" customHeight="1">
      <c r="C688" s="46"/>
      <c r="D688" s="46"/>
      <c r="E688" s="45"/>
      <c r="F688" s="45"/>
      <c r="G688" s="191"/>
      <c r="H688" s="191"/>
      <c r="I688" s="191"/>
    </row>
    <row r="689" ht="15.75" customHeight="1">
      <c r="C689" s="46"/>
      <c r="D689" s="46"/>
      <c r="E689" s="45"/>
      <c r="F689" s="45"/>
      <c r="G689" s="191"/>
      <c r="H689" s="191"/>
      <c r="I689" s="191"/>
    </row>
    <row r="690" ht="15.75" customHeight="1">
      <c r="C690" s="46"/>
      <c r="D690" s="46"/>
      <c r="E690" s="45"/>
      <c r="F690" s="45"/>
      <c r="G690" s="191"/>
      <c r="H690" s="191"/>
      <c r="I690" s="191"/>
    </row>
    <row r="691" ht="15.75" customHeight="1">
      <c r="C691" s="46"/>
      <c r="D691" s="46"/>
      <c r="E691" s="45"/>
      <c r="F691" s="45"/>
      <c r="G691" s="191"/>
      <c r="H691" s="191"/>
      <c r="I691" s="191"/>
    </row>
    <row r="692" ht="15.75" customHeight="1">
      <c r="C692" s="46"/>
      <c r="D692" s="46"/>
      <c r="E692" s="45"/>
      <c r="F692" s="45"/>
      <c r="G692" s="191"/>
      <c r="H692" s="191"/>
      <c r="I692" s="191"/>
    </row>
    <row r="693" ht="15.75" customHeight="1">
      <c r="C693" s="46"/>
      <c r="D693" s="46"/>
      <c r="E693" s="45"/>
      <c r="F693" s="45"/>
      <c r="G693" s="191"/>
      <c r="H693" s="191"/>
      <c r="I693" s="191"/>
    </row>
    <row r="694" ht="15.75" customHeight="1">
      <c r="C694" s="46"/>
      <c r="D694" s="46"/>
      <c r="E694" s="45"/>
      <c r="F694" s="45"/>
      <c r="G694" s="191"/>
      <c r="H694" s="191"/>
      <c r="I694" s="191"/>
    </row>
  </sheetData>
  <mergeCells count="3">
    <mergeCell ref="H158:H159"/>
    <mergeCell ref="I158:I159"/>
    <mergeCell ref="I211:I215"/>
  </mergeCells>
  <printOptions gridLines="1"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9.0"/>
    <col customWidth="1" min="2" max="2" width="12.43"/>
    <col customWidth="1" min="3" max="7" width="11.43"/>
    <col customWidth="1" min="8" max="8" width="12.43"/>
    <col customWidth="1" hidden="1" min="9" max="9" width="12.43"/>
    <col customWidth="1" hidden="1" min="10" max="12" width="10.86"/>
    <col customWidth="1" min="13" max="28" width="10.86"/>
  </cols>
  <sheetData>
    <row r="1" ht="12.75" customHeight="1">
      <c r="A1" s="239" t="s">
        <v>470</v>
      </c>
      <c r="B1" s="240"/>
      <c r="C1" s="240"/>
      <c r="D1" s="240"/>
      <c r="E1" s="240"/>
      <c r="F1" s="240"/>
      <c r="G1" s="240"/>
      <c r="H1" s="241">
        <v>0.3</v>
      </c>
      <c r="I1" s="241">
        <v>0.3</v>
      </c>
      <c r="J1" s="3"/>
      <c r="K1" s="3"/>
      <c r="L1" s="24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2.75" customHeight="1">
      <c r="A2" s="240"/>
      <c r="B2" s="240"/>
      <c r="C2" s="240"/>
      <c r="D2" s="240"/>
      <c r="E2" s="240"/>
      <c r="F2" s="240"/>
      <c r="G2" s="240"/>
      <c r="H2" s="243">
        <v>0.3</v>
      </c>
      <c r="I2" s="243">
        <v>0.3</v>
      </c>
      <c r="J2" s="3"/>
      <c r="K2" s="3"/>
      <c r="L2" s="24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.75" customHeight="1">
      <c r="A3" s="244" t="s">
        <v>471</v>
      </c>
      <c r="B3" s="240"/>
      <c r="C3" s="240"/>
      <c r="D3" s="240"/>
      <c r="E3" s="240"/>
      <c r="F3" s="245">
        <v>0.01</v>
      </c>
      <c r="G3" s="240"/>
      <c r="H3" s="241">
        <v>0.25</v>
      </c>
      <c r="I3" s="241">
        <v>0.2</v>
      </c>
      <c r="J3" s="3"/>
      <c r="K3" s="3"/>
      <c r="L3" s="24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39.0" customHeight="1">
      <c r="A4" s="246" t="s">
        <v>3</v>
      </c>
      <c r="B4" s="246" t="s">
        <v>4</v>
      </c>
      <c r="C4" s="247" t="s">
        <v>5</v>
      </c>
      <c r="D4" s="246" t="s">
        <v>6</v>
      </c>
      <c r="E4" s="246" t="s">
        <v>7</v>
      </c>
      <c r="F4" s="248" t="s">
        <v>8</v>
      </c>
      <c r="G4" s="248" t="s">
        <v>9</v>
      </c>
      <c r="H4" s="246" t="s">
        <v>10</v>
      </c>
      <c r="I4" s="246" t="s">
        <v>10</v>
      </c>
      <c r="J4" s="6" t="s">
        <v>472</v>
      </c>
      <c r="K4" s="3"/>
      <c r="L4" s="24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2.75" customHeight="1">
      <c r="A5" s="249" t="s">
        <v>473</v>
      </c>
      <c r="B5" s="23">
        <v>297460.0</v>
      </c>
      <c r="C5" s="250" t="s">
        <v>18</v>
      </c>
      <c r="D5" s="250">
        <v>20000.0</v>
      </c>
      <c r="E5" s="250">
        <v>0.0</v>
      </c>
      <c r="F5" s="250">
        <f t="shared" ref="F5:F11" si="1">B5*$F$3</f>
        <v>2974.6</v>
      </c>
      <c r="G5" s="251"/>
      <c r="H5" s="250">
        <f t="shared" ref="H5:H7" si="2">+SUM(B5:F5)*(1+$H$2)</f>
        <v>416564.98</v>
      </c>
      <c r="I5" s="250">
        <f>H5</f>
        <v>416564.98</v>
      </c>
      <c r="J5" s="6">
        <v>397850.57</v>
      </c>
      <c r="K5" s="21">
        <f t="shared" ref="K5:K31" si="3">H5/J5-1</f>
        <v>0.04703879147</v>
      </c>
      <c r="L5" s="24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2.75" customHeight="1">
      <c r="A6" s="249" t="s">
        <v>15</v>
      </c>
      <c r="B6" s="23">
        <v>204016.32</v>
      </c>
      <c r="C6" s="23" t="s">
        <v>16</v>
      </c>
      <c r="D6" s="250">
        <v>20000.0</v>
      </c>
      <c r="E6" s="250">
        <v>0.0</v>
      </c>
      <c r="F6" s="250">
        <f t="shared" si="1"/>
        <v>2040.1632</v>
      </c>
      <c r="G6" s="251"/>
      <c r="H6" s="250">
        <f t="shared" si="2"/>
        <v>293873.4282</v>
      </c>
      <c r="I6" s="250">
        <f t="shared" ref="I6:I7" si="4">+SUM(C6:G6)*(1+$H$2)</f>
        <v>28652.21216</v>
      </c>
      <c r="J6" s="6">
        <v>385965.52</v>
      </c>
      <c r="K6" s="21">
        <f t="shared" si="3"/>
        <v>-0.2386018623</v>
      </c>
      <c r="L6" s="24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2.75" customHeight="1">
      <c r="A7" s="252" t="s">
        <v>17</v>
      </c>
      <c r="B7" s="23">
        <v>299909.0</v>
      </c>
      <c r="C7" s="250" t="s">
        <v>18</v>
      </c>
      <c r="D7" s="250">
        <v>20000.0</v>
      </c>
      <c r="E7" s="250">
        <v>0.0</v>
      </c>
      <c r="F7" s="250">
        <f t="shared" si="1"/>
        <v>2999.09</v>
      </c>
      <c r="G7" s="251"/>
      <c r="H7" s="250">
        <f t="shared" si="2"/>
        <v>419780.517</v>
      </c>
      <c r="I7" s="250">
        <f t="shared" si="4"/>
        <v>29898.817</v>
      </c>
      <c r="J7" s="6">
        <v>404491.3</v>
      </c>
      <c r="K7" s="21">
        <f t="shared" si="3"/>
        <v>0.03779863003</v>
      </c>
      <c r="L7" s="24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2.75" customHeight="1">
      <c r="A8" s="249" t="s">
        <v>474</v>
      </c>
      <c r="B8" s="23">
        <v>7197.36</v>
      </c>
      <c r="C8" s="250" t="s">
        <v>23</v>
      </c>
      <c r="D8" s="250">
        <v>2500.0</v>
      </c>
      <c r="E8" s="250">
        <v>0.0</v>
      </c>
      <c r="F8" s="250">
        <f t="shared" si="1"/>
        <v>71.9736</v>
      </c>
      <c r="G8" s="251"/>
      <c r="H8" s="250">
        <f t="shared" ref="H8:I8" si="5">H9</f>
        <v>23625</v>
      </c>
      <c r="I8" s="250">
        <f t="shared" si="5"/>
        <v>44349.70397</v>
      </c>
      <c r="J8" s="6">
        <v>17142.85</v>
      </c>
      <c r="K8" s="21">
        <f t="shared" si="3"/>
        <v>0.3781255742</v>
      </c>
      <c r="L8" s="253">
        <v>12508.41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2.75" customHeight="1">
      <c r="A9" s="249" t="s">
        <v>475</v>
      </c>
      <c r="B9" s="23">
        <v>11515.69</v>
      </c>
      <c r="C9" s="250" t="s">
        <v>23</v>
      </c>
      <c r="D9" s="250">
        <v>2500.0</v>
      </c>
      <c r="E9" s="250">
        <v>0.0</v>
      </c>
      <c r="F9" s="250">
        <f t="shared" si="1"/>
        <v>115.1569</v>
      </c>
      <c r="G9" s="254">
        <v>31500.0</v>
      </c>
      <c r="H9" s="250">
        <f>G9*(1-$H$3)</f>
        <v>23625</v>
      </c>
      <c r="I9" s="250">
        <f>+SUM(C9:G9)*(1+$H$2)</f>
        <v>44349.70397</v>
      </c>
      <c r="J9" s="6">
        <v>17142.85</v>
      </c>
      <c r="K9" s="21">
        <f t="shared" si="3"/>
        <v>0.3781255742</v>
      </c>
      <c r="L9" s="24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2.75" customHeight="1">
      <c r="A10" s="249" t="s">
        <v>476</v>
      </c>
      <c r="B10" s="23">
        <v>2554.03</v>
      </c>
      <c r="C10" s="250" t="s">
        <v>14</v>
      </c>
      <c r="D10" s="250">
        <v>2500.0</v>
      </c>
      <c r="E10" s="250">
        <v>0.0</v>
      </c>
      <c r="F10" s="250">
        <f t="shared" si="1"/>
        <v>25.5403</v>
      </c>
      <c r="G10" s="254">
        <v>15750.0</v>
      </c>
      <c r="H10" s="250">
        <f t="shared" ref="H10:I10" si="6">+H9</f>
        <v>23625</v>
      </c>
      <c r="I10" s="250">
        <f t="shared" si="6"/>
        <v>44349.70397</v>
      </c>
      <c r="J10" s="6">
        <v>17142.85</v>
      </c>
      <c r="K10" s="21">
        <f t="shared" si="3"/>
        <v>0.3781255742</v>
      </c>
      <c r="L10" s="24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2.75" customHeight="1">
      <c r="A11" s="249" t="s">
        <v>477</v>
      </c>
      <c r="B11" s="23">
        <v>32697.94</v>
      </c>
      <c r="C11" s="250" t="s">
        <v>14</v>
      </c>
      <c r="D11" s="250">
        <v>20000.0</v>
      </c>
      <c r="E11" s="250">
        <v>0.0</v>
      </c>
      <c r="F11" s="250">
        <f t="shared" si="1"/>
        <v>326.9794</v>
      </c>
      <c r="G11" s="254">
        <v>157500.0</v>
      </c>
      <c r="H11" s="250">
        <f t="shared" ref="H11:I11" si="7">G11*(1-$H$1)</f>
        <v>110250</v>
      </c>
      <c r="I11" s="250">
        <f t="shared" si="7"/>
        <v>77175</v>
      </c>
      <c r="J11" s="6">
        <v>70981.48</v>
      </c>
      <c r="K11" s="21">
        <f t="shared" si="3"/>
        <v>0.5532220517</v>
      </c>
      <c r="L11" s="24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2.75" customHeight="1">
      <c r="A12" s="252" t="s">
        <v>478</v>
      </c>
      <c r="B12" s="250">
        <v>0.0</v>
      </c>
      <c r="C12" s="250"/>
      <c r="D12" s="250">
        <v>0.0</v>
      </c>
      <c r="E12" s="250">
        <v>0.0</v>
      </c>
      <c r="F12" s="23">
        <v>4215.0</v>
      </c>
      <c r="G12" s="254">
        <v>4725.0</v>
      </c>
      <c r="H12" s="250">
        <f t="shared" ref="H12:I12" si="8">G12*(1-$H$1)</f>
        <v>3307.5</v>
      </c>
      <c r="I12" s="250">
        <f t="shared" si="8"/>
        <v>2315.25</v>
      </c>
      <c r="J12" s="6">
        <v>2960.0</v>
      </c>
      <c r="K12" s="21">
        <f t="shared" si="3"/>
        <v>0.1173986486</v>
      </c>
      <c r="L12" s="24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2.75" customHeight="1">
      <c r="A13" s="249" t="s">
        <v>479</v>
      </c>
      <c r="B13" s="23">
        <v>85049.0</v>
      </c>
      <c r="C13" s="250" t="s">
        <v>18</v>
      </c>
      <c r="D13" s="23">
        <v>0.0</v>
      </c>
      <c r="E13" s="250">
        <v>0.0</v>
      </c>
      <c r="F13" s="250">
        <f>B13*$F$3</f>
        <v>850.49</v>
      </c>
      <c r="G13" s="254">
        <v>189000.0</v>
      </c>
      <c r="H13" s="250">
        <f t="shared" ref="H13:I13" si="9">G13*(1-$H$1)</f>
        <v>132300</v>
      </c>
      <c r="I13" s="250">
        <f t="shared" si="9"/>
        <v>92610</v>
      </c>
      <c r="J13" s="6">
        <v>115600.58</v>
      </c>
      <c r="K13" s="21">
        <f t="shared" si="3"/>
        <v>0.1444579257</v>
      </c>
      <c r="L13" s="253">
        <v>115600.58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2.75" customHeight="1">
      <c r="A14" s="252" t="s">
        <v>480</v>
      </c>
      <c r="B14" s="250">
        <v>0.0</v>
      </c>
      <c r="C14" s="250"/>
      <c r="D14" s="250">
        <v>0.0</v>
      </c>
      <c r="E14" s="250"/>
      <c r="F14" s="255">
        <v>42150.0</v>
      </c>
      <c r="G14" s="256">
        <v>47250.0</v>
      </c>
      <c r="H14" s="250">
        <f t="shared" ref="H14:I14" si="10">G14*(1-$H$1)</f>
        <v>33075</v>
      </c>
      <c r="I14" s="250">
        <f t="shared" si="10"/>
        <v>23152.5</v>
      </c>
      <c r="J14" s="6">
        <v>24500.0</v>
      </c>
      <c r="K14" s="21">
        <f t="shared" si="3"/>
        <v>0.35</v>
      </c>
      <c r="L14" s="253">
        <v>24500.0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2.75" customHeight="1">
      <c r="A15" s="252" t="s">
        <v>481</v>
      </c>
      <c r="B15" s="23">
        <v>8000.0</v>
      </c>
      <c r="C15" s="250"/>
      <c r="D15" s="250">
        <v>0.0</v>
      </c>
      <c r="E15" s="250">
        <v>0.0</v>
      </c>
      <c r="F15" s="250">
        <f>B15*$F$3</f>
        <v>80</v>
      </c>
      <c r="G15" s="251"/>
      <c r="H15" s="250">
        <f t="shared" ref="H15:I15" si="11">+SUM(B15:F15)*(1+$H$2)</f>
        <v>10504</v>
      </c>
      <c r="I15" s="250">
        <f t="shared" si="11"/>
        <v>104</v>
      </c>
      <c r="J15" s="6">
        <v>10465.0</v>
      </c>
      <c r="K15" s="21">
        <f t="shared" si="3"/>
        <v>0.003726708075</v>
      </c>
      <c r="L15" s="253">
        <v>10465.0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2.75" customHeight="1">
      <c r="A16" s="252" t="s">
        <v>482</v>
      </c>
      <c r="B16" s="250">
        <v>0.0</v>
      </c>
      <c r="C16" s="250"/>
      <c r="D16" s="250">
        <v>0.0</v>
      </c>
      <c r="E16" s="250">
        <v>0.0</v>
      </c>
      <c r="F16" s="255">
        <v>17500.0</v>
      </c>
      <c r="G16" s="256">
        <v>23625.0</v>
      </c>
      <c r="H16" s="250">
        <f t="shared" ref="H16:I16" si="12">G16*(1-$H$1)</f>
        <v>16537.5</v>
      </c>
      <c r="I16" s="250">
        <f t="shared" si="12"/>
        <v>11576.25</v>
      </c>
      <c r="J16" s="6">
        <v>12250.0</v>
      </c>
      <c r="K16" s="21">
        <f t="shared" si="3"/>
        <v>0.35</v>
      </c>
      <c r="L16" s="24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2.75" customHeight="1">
      <c r="A17" s="252" t="s">
        <v>483</v>
      </c>
      <c r="B17" s="250">
        <v>0.0</v>
      </c>
      <c r="C17" s="250"/>
      <c r="D17" s="250">
        <v>0.0</v>
      </c>
      <c r="E17" s="250">
        <v>0.0</v>
      </c>
      <c r="F17" s="255">
        <v>5000.0</v>
      </c>
      <c r="G17" s="256">
        <v>6300.0</v>
      </c>
      <c r="H17" s="250">
        <f t="shared" ref="H17:H25" si="13">G17*(1-$H$3)</f>
        <v>4725</v>
      </c>
      <c r="I17" s="250">
        <f>H17*(1-$H$1)</f>
        <v>3307.5</v>
      </c>
      <c r="J17" s="6">
        <v>3500.0</v>
      </c>
      <c r="K17" s="21">
        <f t="shared" si="3"/>
        <v>0.35</v>
      </c>
      <c r="L17" s="24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2.75" customHeight="1">
      <c r="A18" s="252" t="s">
        <v>484</v>
      </c>
      <c r="B18" s="250">
        <v>0.0</v>
      </c>
      <c r="C18" s="250"/>
      <c r="D18" s="250">
        <v>0.0</v>
      </c>
      <c r="E18" s="250">
        <v>0.0</v>
      </c>
      <c r="F18" s="255">
        <v>9600.0</v>
      </c>
      <c r="G18" s="256">
        <v>12600.0</v>
      </c>
      <c r="H18" s="250">
        <f t="shared" si="13"/>
        <v>9450</v>
      </c>
      <c r="I18" s="250">
        <f t="shared" ref="I18:I20" si="14">H18*(1-$H$3)</f>
        <v>7087.5</v>
      </c>
      <c r="J18" s="6">
        <v>8550.0</v>
      </c>
      <c r="K18" s="21">
        <f t="shared" si="3"/>
        <v>0.1052631579</v>
      </c>
      <c r="L18" s="24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1.25" customHeight="1">
      <c r="A19" s="252" t="s">
        <v>485</v>
      </c>
      <c r="B19" s="250">
        <v>0.0</v>
      </c>
      <c r="C19" s="250"/>
      <c r="D19" s="250">
        <v>0.0</v>
      </c>
      <c r="E19" s="250">
        <v>0.0</v>
      </c>
      <c r="F19" s="255">
        <v>9600.0</v>
      </c>
      <c r="G19" s="256">
        <v>12600.0</v>
      </c>
      <c r="H19" s="250">
        <f t="shared" si="13"/>
        <v>9450</v>
      </c>
      <c r="I19" s="250">
        <f t="shared" si="14"/>
        <v>7087.5</v>
      </c>
      <c r="J19" s="6">
        <v>8550.0</v>
      </c>
      <c r="K19" s="21">
        <f t="shared" si="3"/>
        <v>0.1052631579</v>
      </c>
      <c r="L19" s="253">
        <v>8550.0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1.25" customHeight="1">
      <c r="A20" s="252" t="s">
        <v>486</v>
      </c>
      <c r="B20" s="240"/>
      <c r="C20" s="250"/>
      <c r="D20" s="250">
        <v>0.0</v>
      </c>
      <c r="E20" s="250">
        <v>0.0</v>
      </c>
      <c r="F20" s="255">
        <v>4000.0</v>
      </c>
      <c r="G20" s="256">
        <v>4725.0</v>
      </c>
      <c r="H20" s="250">
        <f t="shared" si="13"/>
        <v>3543.75</v>
      </c>
      <c r="I20" s="250">
        <f t="shared" si="14"/>
        <v>2657.8125</v>
      </c>
      <c r="J20" s="6">
        <v>3200.0</v>
      </c>
      <c r="K20" s="21">
        <f t="shared" si="3"/>
        <v>0.107421875</v>
      </c>
      <c r="L20" s="24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2.75" customHeight="1">
      <c r="A21" s="252" t="s">
        <v>487</v>
      </c>
      <c r="B21" s="23">
        <v>3939.4</v>
      </c>
      <c r="C21" s="250" t="s">
        <v>488</v>
      </c>
      <c r="D21" s="250">
        <v>2500.0</v>
      </c>
      <c r="E21" s="250"/>
      <c r="F21" s="250">
        <f>B21*$F$3</f>
        <v>39.394</v>
      </c>
      <c r="G21" s="254">
        <v>22050.0</v>
      </c>
      <c r="H21" s="250">
        <f t="shared" si="13"/>
        <v>16537.5</v>
      </c>
      <c r="I21" s="250">
        <f t="shared" ref="I21:I25" si="15">H21*(1-$H$1)</f>
        <v>11576.25</v>
      </c>
      <c r="J21" s="6">
        <v>8433.73</v>
      </c>
      <c r="K21" s="21">
        <f t="shared" si="3"/>
        <v>0.9608761485</v>
      </c>
      <c r="L21" s="253">
        <v>8653.72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1.25" customHeight="1">
      <c r="A22" s="252" t="s">
        <v>489</v>
      </c>
      <c r="B22" s="250">
        <v>0.0</v>
      </c>
      <c r="C22" s="250"/>
      <c r="D22" s="250">
        <v>0.0</v>
      </c>
      <c r="E22" s="250">
        <v>0.0</v>
      </c>
      <c r="F22" s="257">
        <v>10025.0</v>
      </c>
      <c r="G22" s="256">
        <v>14175.0</v>
      </c>
      <c r="H22" s="250">
        <f t="shared" si="13"/>
        <v>10631.25</v>
      </c>
      <c r="I22" s="250">
        <f t="shared" si="15"/>
        <v>7441.875</v>
      </c>
      <c r="J22" s="6">
        <v>8020.0</v>
      </c>
      <c r="K22" s="21">
        <f t="shared" si="3"/>
        <v>0.3255922693</v>
      </c>
      <c r="L22" s="24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2.75" customHeight="1">
      <c r="A23" s="252" t="s">
        <v>490</v>
      </c>
      <c r="B23" s="23">
        <v>4175.22</v>
      </c>
      <c r="C23" s="250" t="s">
        <v>488</v>
      </c>
      <c r="D23" s="250">
        <v>2250.0</v>
      </c>
      <c r="E23" s="250"/>
      <c r="F23" s="250">
        <f t="shared" ref="F23:F25" si="16">B23*$F$3</f>
        <v>41.7522</v>
      </c>
      <c r="G23" s="254">
        <v>15750.0</v>
      </c>
      <c r="H23" s="250">
        <f t="shared" si="13"/>
        <v>11812.5</v>
      </c>
      <c r="I23" s="250">
        <f t="shared" si="15"/>
        <v>8268.75</v>
      </c>
      <c r="J23" s="6">
        <v>8180.16</v>
      </c>
      <c r="K23" s="21">
        <f t="shared" si="3"/>
        <v>0.4440426593</v>
      </c>
      <c r="L23" s="24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2.75" customHeight="1">
      <c r="A24" s="249" t="s">
        <v>491</v>
      </c>
      <c r="B24" s="23">
        <v>12151.15</v>
      </c>
      <c r="C24" s="250" t="s">
        <v>23</v>
      </c>
      <c r="D24" s="250">
        <v>0.0</v>
      </c>
      <c r="E24" s="23">
        <v>1000.0</v>
      </c>
      <c r="F24" s="250">
        <f t="shared" si="16"/>
        <v>121.5115</v>
      </c>
      <c r="G24" s="254">
        <v>44100.0</v>
      </c>
      <c r="H24" s="250">
        <f t="shared" si="13"/>
        <v>33075</v>
      </c>
      <c r="I24" s="250">
        <f t="shared" si="15"/>
        <v>23152.5</v>
      </c>
      <c r="J24" s="6">
        <v>15357.57</v>
      </c>
      <c r="K24" s="21">
        <f t="shared" si="3"/>
        <v>1.153661028</v>
      </c>
      <c r="L24" s="253" t="s">
        <v>492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2.75" customHeight="1">
      <c r="A25" s="252" t="s">
        <v>65</v>
      </c>
      <c r="B25" s="23">
        <v>28890.64</v>
      </c>
      <c r="C25" s="250" t="s">
        <v>14</v>
      </c>
      <c r="D25" s="250">
        <v>20000.0</v>
      </c>
      <c r="E25" s="23">
        <v>1200.0</v>
      </c>
      <c r="F25" s="250">
        <f t="shared" si="16"/>
        <v>288.9064</v>
      </c>
      <c r="G25" s="254">
        <v>118125.0</v>
      </c>
      <c r="H25" s="250">
        <f t="shared" si="13"/>
        <v>88593.75</v>
      </c>
      <c r="I25" s="250">
        <f t="shared" si="15"/>
        <v>62015.625</v>
      </c>
      <c r="J25" s="258">
        <v>61834.67</v>
      </c>
      <c r="K25" s="21">
        <f t="shared" si="3"/>
        <v>0.4327520467</v>
      </c>
      <c r="L25" s="253">
        <v>64590.02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2.75" customHeight="1">
      <c r="A26" s="249" t="s">
        <v>493</v>
      </c>
      <c r="B26" s="250"/>
      <c r="C26" s="250"/>
      <c r="D26" s="250"/>
      <c r="E26" s="250">
        <v>0.0</v>
      </c>
      <c r="F26" s="255">
        <v>82000.0</v>
      </c>
      <c r="G26" s="256"/>
      <c r="H26" s="250">
        <f t="shared" ref="H26:I26" si="17">F26</f>
        <v>82000</v>
      </c>
      <c r="I26" s="250" t="str">
        <f t="shared" si="17"/>
        <v/>
      </c>
      <c r="J26" s="3" t="b">
        <v>0</v>
      </c>
      <c r="K26" s="21" t="str">
        <f t="shared" si="3"/>
        <v>#DIV/0!</v>
      </c>
      <c r="L26" s="24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2.75" customHeight="1">
      <c r="A27" s="249" t="s">
        <v>494</v>
      </c>
      <c r="B27" s="250"/>
      <c r="C27" s="250"/>
      <c r="D27" s="250"/>
      <c r="E27" s="250">
        <v>0.0</v>
      </c>
      <c r="F27" s="255">
        <v>82000.0</v>
      </c>
      <c r="G27" s="256"/>
      <c r="H27" s="250">
        <f t="shared" ref="H27:I27" si="18">F27</f>
        <v>82000</v>
      </c>
      <c r="I27" s="250" t="str">
        <f t="shared" si="18"/>
        <v/>
      </c>
      <c r="J27" s="3" t="b">
        <v>0</v>
      </c>
      <c r="K27" s="21" t="str">
        <f t="shared" si="3"/>
        <v>#DIV/0!</v>
      </c>
      <c r="L27" s="24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2.75" customHeight="1">
      <c r="A28" s="249" t="s">
        <v>495</v>
      </c>
      <c r="B28" s="250"/>
      <c r="C28" s="250"/>
      <c r="D28" s="250"/>
      <c r="E28" s="250">
        <v>0.0</v>
      </c>
      <c r="F28" s="255">
        <v>86000.0</v>
      </c>
      <c r="G28" s="256"/>
      <c r="H28" s="250">
        <f t="shared" ref="H28:I28" si="19">F28</f>
        <v>86000</v>
      </c>
      <c r="I28" s="250" t="str">
        <f t="shared" si="19"/>
        <v/>
      </c>
      <c r="J28" s="3" t="b">
        <v>0</v>
      </c>
      <c r="K28" s="21" t="str">
        <f t="shared" si="3"/>
        <v>#DIV/0!</v>
      </c>
      <c r="L28" s="24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2.75" customHeight="1">
      <c r="A29" s="249" t="s">
        <v>496</v>
      </c>
      <c r="B29" s="250"/>
      <c r="C29" s="250"/>
      <c r="D29" s="250"/>
      <c r="E29" s="250">
        <v>0.0</v>
      </c>
      <c r="F29" s="255">
        <v>135000.0</v>
      </c>
      <c r="G29" s="256"/>
      <c r="H29" s="250">
        <f t="shared" ref="H29:I29" si="20">F29</f>
        <v>135000</v>
      </c>
      <c r="I29" s="250" t="str">
        <f t="shared" si="20"/>
        <v/>
      </c>
      <c r="J29" s="3" t="b">
        <v>0</v>
      </c>
      <c r="K29" s="21" t="str">
        <f t="shared" si="3"/>
        <v>#DIV/0!</v>
      </c>
      <c r="L29" s="24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2.75" customHeight="1">
      <c r="A30" s="249" t="s">
        <v>497</v>
      </c>
      <c r="B30" s="250"/>
      <c r="C30" s="250"/>
      <c r="D30" s="250"/>
      <c r="E30" s="250">
        <v>0.0</v>
      </c>
      <c r="F30" s="255">
        <v>130000.0</v>
      </c>
      <c r="G30" s="256">
        <v>135000.0</v>
      </c>
      <c r="H30" s="250">
        <f t="shared" ref="H30:I30" si="21">F30</f>
        <v>130000</v>
      </c>
      <c r="I30" s="250">
        <f t="shared" si="21"/>
        <v>135000</v>
      </c>
      <c r="J30" s="3" t="b">
        <v>0</v>
      </c>
      <c r="K30" s="21" t="str">
        <f t="shared" si="3"/>
        <v>#DIV/0!</v>
      </c>
      <c r="L30" s="24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2.75" customHeight="1">
      <c r="A31" s="249" t="s">
        <v>498</v>
      </c>
      <c r="B31" s="250"/>
      <c r="C31" s="250"/>
      <c r="D31" s="250"/>
      <c r="E31" s="250">
        <v>0.0</v>
      </c>
      <c r="F31" s="255">
        <v>85000.0</v>
      </c>
      <c r="G31" s="256">
        <v>92000.0</v>
      </c>
      <c r="H31" s="250">
        <f t="shared" ref="H31:I31" si="22">F31</f>
        <v>85000</v>
      </c>
      <c r="I31" s="250">
        <f t="shared" si="22"/>
        <v>92000</v>
      </c>
      <c r="J31" s="3" t="b">
        <v>0</v>
      </c>
      <c r="K31" s="21" t="str">
        <f t="shared" si="3"/>
        <v>#DIV/0!</v>
      </c>
      <c r="L31" s="24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2.75" customHeight="1">
      <c r="A32" s="259" t="s">
        <v>11</v>
      </c>
      <c r="B32" s="23">
        <v>607684.0</v>
      </c>
      <c r="C32" s="23" t="s">
        <v>18</v>
      </c>
      <c r="D32" s="250">
        <v>20000.0</v>
      </c>
      <c r="E32" s="250">
        <v>0.0</v>
      </c>
      <c r="F32" s="250">
        <f t="shared" ref="F32:F33" si="24">B32*$F$3</f>
        <v>6076.84</v>
      </c>
      <c r="G32" s="251"/>
      <c r="H32" s="250">
        <f t="shared" ref="H32:I32" si="23">+SUM(B32:F32)*(1+$H$2)</f>
        <v>823889.092</v>
      </c>
      <c r="I32" s="250">
        <f t="shared" si="23"/>
        <v>33899.892</v>
      </c>
      <c r="J32" s="3"/>
      <c r="K32" s="3"/>
      <c r="L32" s="24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2.75" customHeight="1">
      <c r="A33" s="252" t="s">
        <v>499</v>
      </c>
      <c r="B33" s="260">
        <v>16996.78</v>
      </c>
      <c r="C33" s="260" t="s">
        <v>14</v>
      </c>
      <c r="D33" s="261"/>
      <c r="E33" s="261">
        <v>0.0</v>
      </c>
      <c r="F33" s="250">
        <f t="shared" si="24"/>
        <v>169.9678</v>
      </c>
      <c r="G33" s="256">
        <v>157500.0</v>
      </c>
      <c r="H33" s="250">
        <f t="shared" ref="H33:I33" si="25">G33*(1-$H$1)</f>
        <v>110250</v>
      </c>
      <c r="I33" s="250">
        <f t="shared" si="25"/>
        <v>77175</v>
      </c>
      <c r="J33" s="3"/>
      <c r="K33" s="3"/>
      <c r="L33" s="24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24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24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24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2.75" customHeight="1">
      <c r="A37" s="262"/>
      <c r="B37" s="3"/>
      <c r="C37" s="3"/>
      <c r="D37" s="3"/>
      <c r="E37" s="3"/>
      <c r="F37" s="3"/>
      <c r="G37" s="3"/>
      <c r="H37" s="3"/>
      <c r="I37" s="3"/>
      <c r="J37" s="3"/>
      <c r="K37" s="3"/>
      <c r="L37" s="24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24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24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24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4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4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4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4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24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24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24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24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24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24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4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4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24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24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24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24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24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24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24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24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4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24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4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24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24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24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24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24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24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24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24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24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24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24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24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4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24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24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24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24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24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24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24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24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24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24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24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24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24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24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24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24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24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24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24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24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24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24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24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24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24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24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24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24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24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24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24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24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24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24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24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24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24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24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24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24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24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24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24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24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24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24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24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24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24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24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4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24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24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24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24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24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24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24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4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4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24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4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24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4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24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24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24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24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24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24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24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4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24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4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24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24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24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24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24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24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24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24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24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24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4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4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4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4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4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4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4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4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4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4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4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4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4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4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4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4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4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4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4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4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4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4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4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4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4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4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4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4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4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4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4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4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4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4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4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4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4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4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4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4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4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4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4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4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4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4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4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4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4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4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4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4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4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4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4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4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4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4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4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4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4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4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4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4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4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4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4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4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4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4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4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4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4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4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4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4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4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24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4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4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24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4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4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24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24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24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24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4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24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24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24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24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24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24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24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24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24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24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24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24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24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24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24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24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24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24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4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4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4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4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4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24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24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4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24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24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24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24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24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24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24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24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24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24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24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24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24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24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24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24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24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24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4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4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4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4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4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4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4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4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4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4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4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4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4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4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4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4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4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4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4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4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4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4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4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4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4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4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4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4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4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4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4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4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4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4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4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4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4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4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4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4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4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4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4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4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4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4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4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4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4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4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4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4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4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4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4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4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4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4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4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4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4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4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4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4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4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4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4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4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4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4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4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4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4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4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4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4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4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4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4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4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4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4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4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4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4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4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4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4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4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4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4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4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4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4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4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4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4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4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4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4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4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4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4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4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4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4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4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4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4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24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24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24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24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24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24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24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24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24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24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24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24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24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24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24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24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24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24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4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24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24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24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24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24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24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24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24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24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24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24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24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24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24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24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24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24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24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24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4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24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24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24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24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24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24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24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24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24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24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24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24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24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24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24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24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24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24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24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24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24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24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24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24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24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24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24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24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24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24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24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24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4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24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24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24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24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24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24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24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24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24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24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24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24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24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24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24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24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24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4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24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24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4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4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4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24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24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24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24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24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24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24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24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24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24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24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24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24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24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24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24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24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24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24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24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24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24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24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24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24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24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24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24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24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24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24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24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24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24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24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24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24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24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24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24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24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24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24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24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24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24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24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24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24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24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24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24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24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24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24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24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24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24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24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24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24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24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24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24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24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24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24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24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24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24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24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24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24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24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24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24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24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24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24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24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24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24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24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24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24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24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24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24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24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24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24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24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24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24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24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24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24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24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24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24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24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24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24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24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24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24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24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24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24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24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24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24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24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24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24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24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24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24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24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24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4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4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4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4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4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4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4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4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4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4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4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4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4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4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4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4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4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4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4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4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4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4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4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4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4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4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4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4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4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4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4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4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4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4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4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4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4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4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4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4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4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4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4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4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4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4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4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4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4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4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4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4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4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4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4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4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4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4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4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4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4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4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4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4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4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4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4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4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4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4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4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4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4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4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4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4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4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4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4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4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4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4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4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4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4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4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4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4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4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4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4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4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4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4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4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4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4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4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4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4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4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4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4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4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4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4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4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4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4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4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4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4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4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4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4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4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4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4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4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4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4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4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4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4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4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4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24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24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24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4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24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24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24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24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24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24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24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24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24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24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24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24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24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24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24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24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24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24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24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4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24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24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24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24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24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24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24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24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24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24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24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24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24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24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24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24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24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24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24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24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24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24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24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24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24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24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24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24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24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24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24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24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24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24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24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24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24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24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24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24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24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24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24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24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24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24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24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24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24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24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24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24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24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24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24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24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24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24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24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24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24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24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24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24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24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24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24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24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24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24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24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24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24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24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24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24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24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24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24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24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24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24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24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24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24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24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24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24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24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24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24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24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24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24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24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24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24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24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24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24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24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24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24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24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24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24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24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24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24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24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24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24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24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24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24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24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24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24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24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24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24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24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4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24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24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24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24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242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242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242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242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242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242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242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242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242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242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24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242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242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242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242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242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242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242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242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242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242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242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242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242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242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242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242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242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242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242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242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242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242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242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242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242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24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242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242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242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242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242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242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242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242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242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242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242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242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242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242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242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242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242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242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242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242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242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242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242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242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242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242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242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242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242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242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242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242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242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242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242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242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242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242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242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242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242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242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242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242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242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242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242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242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242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242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242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242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242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242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242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242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242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242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242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242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242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242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242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242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242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242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242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242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242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242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0.57"/>
    <col customWidth="1" hidden="1" min="2" max="2" width="12.43"/>
    <col customWidth="1" hidden="1" min="3" max="6" width="11.43"/>
    <col customWidth="1" min="7" max="7" width="12.43"/>
    <col customWidth="1" min="8" max="21" width="10.86"/>
  </cols>
  <sheetData>
    <row r="1" ht="12.75" customHeight="1">
      <c r="A1" s="244" t="s">
        <v>500</v>
      </c>
      <c r="B1" s="240"/>
      <c r="C1" s="240"/>
      <c r="D1" s="240"/>
      <c r="E1" s="240"/>
      <c r="F1" s="240"/>
      <c r="G1" s="241">
        <v>0.6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2.75" customHeight="1">
      <c r="A2" s="240"/>
      <c r="B2" s="240"/>
      <c r="C2" s="240"/>
      <c r="D2" s="240"/>
      <c r="E2" s="240"/>
      <c r="F2" s="240"/>
      <c r="G2" s="241">
        <v>0.35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 customHeight="1">
      <c r="A3" s="244" t="s">
        <v>471</v>
      </c>
      <c r="B3" s="240"/>
      <c r="C3" s="240"/>
      <c r="D3" s="240"/>
      <c r="E3" s="245">
        <v>0.05</v>
      </c>
      <c r="F3" s="240"/>
      <c r="G3" s="241">
        <v>0.12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9.0" customHeight="1">
      <c r="A4" s="246" t="s">
        <v>3</v>
      </c>
      <c r="B4" s="246" t="s">
        <v>4</v>
      </c>
      <c r="C4" s="247" t="s">
        <v>5</v>
      </c>
      <c r="D4" s="246" t="s">
        <v>6</v>
      </c>
      <c r="E4" s="248" t="s">
        <v>8</v>
      </c>
      <c r="F4" s="248" t="s">
        <v>9</v>
      </c>
      <c r="G4" s="246" t="s">
        <v>10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2.75" customHeight="1">
      <c r="A5" s="263" t="s">
        <v>473</v>
      </c>
      <c r="B5" s="23">
        <v>297460.0</v>
      </c>
      <c r="C5" s="250" t="s">
        <v>18</v>
      </c>
      <c r="D5" s="250">
        <v>20000.0</v>
      </c>
      <c r="E5" s="250">
        <f t="shared" ref="E5:E11" si="1">B5*$E$3</f>
        <v>14873</v>
      </c>
      <c r="F5" s="251"/>
      <c r="G5" s="250">
        <f t="shared" ref="G5:G6" si="2">+SUM(B5:E5)*(1+$G$2)</f>
        <v>448649.55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2.75" customHeight="1">
      <c r="A6" s="263" t="s">
        <v>15</v>
      </c>
      <c r="B6" s="23">
        <v>204016.32</v>
      </c>
      <c r="C6" s="23" t="s">
        <v>16</v>
      </c>
      <c r="D6" s="250">
        <v>20000.0</v>
      </c>
      <c r="E6" s="250">
        <f t="shared" si="1"/>
        <v>10200.816</v>
      </c>
      <c r="F6" s="251"/>
      <c r="G6" s="250">
        <f t="shared" si="2"/>
        <v>316193.1336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2.75" customHeight="1">
      <c r="A7" s="263" t="s">
        <v>474</v>
      </c>
      <c r="B7" s="23">
        <v>7197.36</v>
      </c>
      <c r="C7" s="250" t="s">
        <v>23</v>
      </c>
      <c r="D7" s="250">
        <v>2500.0</v>
      </c>
      <c r="E7" s="250">
        <f t="shared" si="1"/>
        <v>359.868</v>
      </c>
      <c r="F7" s="251"/>
      <c r="G7" s="250">
        <f>G8</f>
        <v>27720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2.75" customHeight="1">
      <c r="A8" s="263" t="s">
        <v>475</v>
      </c>
      <c r="B8" s="23">
        <v>11515.69</v>
      </c>
      <c r="C8" s="250" t="s">
        <v>23</v>
      </c>
      <c r="D8" s="250">
        <v>2500.0</v>
      </c>
      <c r="E8" s="250">
        <f t="shared" si="1"/>
        <v>575.7845</v>
      </c>
      <c r="F8" s="254">
        <v>31500.0</v>
      </c>
      <c r="G8" s="250">
        <f>F8*(1-$G$3)</f>
        <v>27720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2.75" customHeight="1">
      <c r="A9" s="263" t="s">
        <v>476</v>
      </c>
      <c r="B9" s="23">
        <v>2554.03</v>
      </c>
      <c r="C9" s="250" t="s">
        <v>14</v>
      </c>
      <c r="D9" s="250">
        <v>2500.0</v>
      </c>
      <c r="E9" s="250">
        <f t="shared" si="1"/>
        <v>127.7015</v>
      </c>
      <c r="F9" s="254">
        <v>15750.0</v>
      </c>
      <c r="G9" s="250">
        <f>+G8</f>
        <v>27720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2.75" customHeight="1">
      <c r="A10" s="263" t="s">
        <v>477</v>
      </c>
      <c r="B10" s="23">
        <v>32697.94</v>
      </c>
      <c r="C10" s="250" t="s">
        <v>14</v>
      </c>
      <c r="D10" s="250">
        <v>20000.0</v>
      </c>
      <c r="E10" s="250">
        <f t="shared" si="1"/>
        <v>1634.897</v>
      </c>
      <c r="F10" s="254">
        <v>157500.0</v>
      </c>
      <c r="G10" s="250">
        <f t="shared" ref="G10:G11" si="3">F10*(1-$G$3)</f>
        <v>138600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2.75" customHeight="1">
      <c r="A11" s="263" t="s">
        <v>479</v>
      </c>
      <c r="B11" s="23">
        <v>85049.0</v>
      </c>
      <c r="C11" s="250" t="s">
        <v>18</v>
      </c>
      <c r="D11" s="23">
        <v>0.0</v>
      </c>
      <c r="E11" s="250">
        <f t="shared" si="1"/>
        <v>4252.45</v>
      </c>
      <c r="F11" s="254">
        <v>189000.0</v>
      </c>
      <c r="G11" s="250">
        <f t="shared" si="3"/>
        <v>166320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2.75" customHeight="1">
      <c r="A12" s="263" t="s">
        <v>501</v>
      </c>
      <c r="B12" s="250">
        <v>134400.0</v>
      </c>
      <c r="C12" s="250" t="s">
        <v>502</v>
      </c>
      <c r="D12" s="250">
        <v>20000.0</v>
      </c>
      <c r="E12" s="255">
        <f>B12*0.12</f>
        <v>16128</v>
      </c>
      <c r="F12" s="256"/>
      <c r="G12" s="250">
        <f>SUM(B12:E12)*(1+G1)</f>
        <v>272844.8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2.75" customHeight="1">
      <c r="A13" s="264" t="s">
        <v>503</v>
      </c>
      <c r="B13" s="265">
        <f>SUM(B12)</f>
        <v>134400</v>
      </c>
      <c r="C13" s="265"/>
      <c r="D13" s="265">
        <v>20000.0</v>
      </c>
      <c r="E13" s="266">
        <f>SUM(E12)</f>
        <v>16128</v>
      </c>
      <c r="F13" s="266"/>
      <c r="G13" s="265">
        <f>SUM(G9:G12)*(1-G3)</f>
        <v>532826.624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2.75" customHeight="1">
      <c r="A14" s="263" t="s">
        <v>491</v>
      </c>
      <c r="B14" s="23">
        <v>12151.15</v>
      </c>
      <c r="C14" s="250" t="s">
        <v>23</v>
      </c>
      <c r="D14" s="250">
        <v>0.0</v>
      </c>
      <c r="E14" s="250">
        <f>B14*$E$3</f>
        <v>607.5575</v>
      </c>
      <c r="F14" s="254">
        <v>44100.0</v>
      </c>
      <c r="G14" s="250">
        <f>F14*(1-$G$3)</f>
        <v>38808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2.75" customHeight="1">
      <c r="A15" s="263" t="s">
        <v>493</v>
      </c>
      <c r="B15" s="250"/>
      <c r="C15" s="250"/>
      <c r="D15" s="250"/>
      <c r="E15" s="255">
        <v>84000.0</v>
      </c>
      <c r="F15" s="256"/>
      <c r="G15" s="250">
        <f t="shared" ref="G15:G20" si="4">E15</f>
        <v>84000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2.75" customHeight="1">
      <c r="A16" s="263" t="s">
        <v>494</v>
      </c>
      <c r="B16" s="250"/>
      <c r="C16" s="250"/>
      <c r="D16" s="250"/>
      <c r="E16" s="255">
        <v>84000.0</v>
      </c>
      <c r="F16" s="256"/>
      <c r="G16" s="250">
        <f t="shared" si="4"/>
        <v>84000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2.75" customHeight="1">
      <c r="A17" s="263" t="s">
        <v>495</v>
      </c>
      <c r="B17" s="250"/>
      <c r="C17" s="250"/>
      <c r="D17" s="250"/>
      <c r="E17" s="255">
        <v>88000.0</v>
      </c>
      <c r="F17" s="256"/>
      <c r="G17" s="250">
        <f t="shared" si="4"/>
        <v>88000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2.75" customHeight="1">
      <c r="A18" s="263" t="s">
        <v>496</v>
      </c>
      <c r="B18" s="250"/>
      <c r="C18" s="250"/>
      <c r="D18" s="250"/>
      <c r="E18" s="255">
        <v>140000.0</v>
      </c>
      <c r="F18" s="256"/>
      <c r="G18" s="250">
        <f t="shared" si="4"/>
        <v>140000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2.75" customHeight="1">
      <c r="A19" s="263" t="s">
        <v>497</v>
      </c>
      <c r="B19" s="250"/>
      <c r="C19" s="250"/>
      <c r="D19" s="250"/>
      <c r="E19" s="255">
        <v>135000.0</v>
      </c>
      <c r="F19" s="256"/>
      <c r="G19" s="250">
        <f t="shared" si="4"/>
        <v>135000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2.75" customHeight="1">
      <c r="A20" s="263" t="s">
        <v>498</v>
      </c>
      <c r="B20" s="250"/>
      <c r="C20" s="250"/>
      <c r="D20" s="250"/>
      <c r="E20" s="255">
        <v>92000.0</v>
      </c>
      <c r="F20" s="256"/>
      <c r="G20" s="250">
        <f t="shared" si="4"/>
        <v>92000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2.75" customHeight="1">
      <c r="A21" s="263" t="s">
        <v>11</v>
      </c>
      <c r="B21" s="250">
        <v>607684.0</v>
      </c>
      <c r="C21" s="250" t="s">
        <v>18</v>
      </c>
      <c r="D21" s="250">
        <v>20000.0</v>
      </c>
      <c r="E21" s="255">
        <f t="shared" ref="E21:E22" si="5">B21*$E$3</f>
        <v>30384.2</v>
      </c>
      <c r="F21" s="256"/>
      <c r="G21" s="250">
        <f>+SUM(B21:E21)*(1+$G$2)</f>
        <v>888392.07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2.75" customHeight="1">
      <c r="A22" s="267" t="s">
        <v>504</v>
      </c>
      <c r="B22" s="23">
        <v>85124.0</v>
      </c>
      <c r="C22" s="250"/>
      <c r="D22" s="23">
        <v>20000.0</v>
      </c>
      <c r="E22" s="255">
        <f t="shared" si="5"/>
        <v>4256.2</v>
      </c>
      <c r="F22" s="256">
        <v>252000.0</v>
      </c>
      <c r="G22" s="250">
        <f>F22*(1-$G$3)</f>
        <v>221760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4" ht="12.75" customHeight="1"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7.29"/>
    <col customWidth="1" hidden="1" min="2" max="2" width="11.43"/>
    <col customWidth="1" min="3" max="3" width="12.43"/>
    <col customWidth="1" min="4" max="4" width="20.0"/>
    <col customWidth="1" min="5" max="5" width="35.57"/>
    <col customWidth="1" min="6" max="20" width="10.86"/>
  </cols>
  <sheetData>
    <row r="1" ht="12.75" customHeight="1">
      <c r="A1" s="1" t="s">
        <v>505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2.75" customHeight="1">
      <c r="A2" s="3"/>
      <c r="B2" s="3"/>
      <c r="C2" s="268">
        <v>0.79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r="A3" s="269" t="s">
        <v>506</v>
      </c>
      <c r="B3" s="3"/>
      <c r="C3" s="270">
        <v>0.8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39.0" customHeight="1">
      <c r="A4" s="9" t="s">
        <v>3</v>
      </c>
      <c r="B4" s="9" t="s">
        <v>8</v>
      </c>
      <c r="C4" s="271" t="s">
        <v>507</v>
      </c>
      <c r="D4" s="9" t="s">
        <v>508</v>
      </c>
      <c r="E4" s="9" t="s">
        <v>509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2.75" customHeight="1">
      <c r="A5" s="15" t="s">
        <v>497</v>
      </c>
      <c r="B5" s="16">
        <v>135000.0</v>
      </c>
      <c r="C5" s="17">
        <f t="shared" ref="C5:C6" si="1">MROUND(B5*$C$2,500)</f>
        <v>106500</v>
      </c>
      <c r="D5" s="272" t="s">
        <v>510</v>
      </c>
      <c r="E5" s="273" t="s">
        <v>511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2.75" customHeight="1">
      <c r="A6" s="15" t="s">
        <v>498</v>
      </c>
      <c r="B6" s="16">
        <v>92000.0</v>
      </c>
      <c r="C6" s="17">
        <f t="shared" si="1"/>
        <v>72500</v>
      </c>
      <c r="D6" s="272" t="s">
        <v>510</v>
      </c>
      <c r="E6" s="273" t="s">
        <v>511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2.75" customHeight="1">
      <c r="A7" s="15" t="str">
        <f>Cotizador!A8</f>
        <v>DAO</v>
      </c>
      <c r="B7" s="16">
        <f>Cotizador!H8</f>
        <v>316192.68</v>
      </c>
      <c r="C7" s="17">
        <f>B7*0.92</f>
        <v>290897.2656</v>
      </c>
      <c r="D7" s="272" t="s">
        <v>510</v>
      </c>
      <c r="E7" s="273" t="s">
        <v>511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2.75" customHeight="1">
      <c r="A9" s="274" t="s">
        <v>512</v>
      </c>
      <c r="B9" s="274"/>
      <c r="C9" s="274"/>
      <c r="D9" s="27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2.75" customHeight="1">
      <c r="A11" s="3"/>
      <c r="B11" s="3"/>
      <c r="C11" s="3"/>
      <c r="D11" s="27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2.75" customHeight="1">
      <c r="A12" s="3"/>
      <c r="B12" s="3"/>
      <c r="C12" s="3"/>
      <c r="D12" s="27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2.75" customHeight="1">
      <c r="A13" s="276" t="s">
        <v>513</v>
      </c>
      <c r="B13" s="277"/>
      <c r="C13" s="277"/>
      <c r="D13" s="27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2.75" customHeight="1">
      <c r="A14" s="277"/>
      <c r="B14" s="277"/>
      <c r="C14" s="277"/>
      <c r="D14" s="27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2.75" customHeight="1">
      <c r="A15" s="278" t="s">
        <v>514</v>
      </c>
      <c r="B15" s="277"/>
      <c r="C15" s="277"/>
      <c r="D15" s="27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39.0" customHeight="1">
      <c r="A16" s="9" t="s">
        <v>3</v>
      </c>
      <c r="B16" s="9" t="s">
        <v>8</v>
      </c>
      <c r="C16" s="271" t="s">
        <v>108</v>
      </c>
      <c r="D16" s="9" t="s">
        <v>508</v>
      </c>
      <c r="E16" s="9" t="s">
        <v>509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2.75" customHeight="1">
      <c r="A17" s="15" t="s">
        <v>493</v>
      </c>
      <c r="B17" s="16">
        <v>80000.0</v>
      </c>
      <c r="C17" s="16">
        <v>79000.0</v>
      </c>
      <c r="D17" s="272" t="s">
        <v>515</v>
      </c>
      <c r="E17" s="273" t="s">
        <v>516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2.75" customHeight="1">
      <c r="A18" s="15" t="s">
        <v>494</v>
      </c>
      <c r="B18" s="16">
        <v>80000.0</v>
      </c>
      <c r="C18" s="16">
        <v>79000.0</v>
      </c>
      <c r="D18" s="272" t="s">
        <v>515</v>
      </c>
      <c r="E18" s="273" t="s">
        <v>516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2.75" customHeight="1">
      <c r="A19" s="15" t="s">
        <v>495</v>
      </c>
      <c r="B19" s="16">
        <v>85000.0</v>
      </c>
      <c r="C19" s="16">
        <v>84000.0</v>
      </c>
      <c r="D19" s="272" t="s">
        <v>515</v>
      </c>
      <c r="E19" s="273" t="s">
        <v>516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2.75" customHeight="1">
      <c r="A20" s="15" t="s">
        <v>496</v>
      </c>
      <c r="B20" s="16">
        <v>128000.0</v>
      </c>
      <c r="C20" s="16">
        <v>128000.0</v>
      </c>
      <c r="D20" s="272" t="s">
        <v>517</v>
      </c>
      <c r="E20" s="273" t="s">
        <v>516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2.75" customHeight="1">
      <c r="A21" s="15" t="s">
        <v>497</v>
      </c>
      <c r="B21" s="16">
        <v>128000.0</v>
      </c>
      <c r="C21" s="16">
        <v>128000.0</v>
      </c>
      <c r="D21" s="272" t="s">
        <v>518</v>
      </c>
      <c r="E21" s="273" t="s">
        <v>519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2.75" customHeight="1">
      <c r="A22" s="15" t="s">
        <v>498</v>
      </c>
      <c r="B22" s="16">
        <v>85000.0</v>
      </c>
      <c r="C22" s="16">
        <v>85000.0</v>
      </c>
      <c r="D22" s="272" t="s">
        <v>518</v>
      </c>
      <c r="E22" s="273" t="s">
        <v>519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2.75" customHeight="1">
      <c r="A23" s="277"/>
      <c r="B23" s="277"/>
      <c r="C23" s="277"/>
      <c r="D23" s="27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2.75" customHeight="1">
      <c r="A24" s="279" t="s">
        <v>520</v>
      </c>
      <c r="B24" s="279"/>
      <c r="C24" s="279"/>
      <c r="D24" s="27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2.75" customHeight="1">
      <c r="A25" s="277"/>
      <c r="B25" s="277"/>
      <c r="C25" s="277"/>
      <c r="D25" s="27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2.75" customHeight="1">
      <c r="A27" s="1" t="s">
        <v>521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2.75" customHeight="1">
      <c r="A29" s="280" t="s">
        <v>522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39.0" customHeight="1">
      <c r="A30" s="9" t="s">
        <v>3</v>
      </c>
      <c r="B30" s="9" t="s">
        <v>108</v>
      </c>
      <c r="C30" s="271" t="s">
        <v>108</v>
      </c>
      <c r="D30" s="9" t="s">
        <v>508</v>
      </c>
      <c r="E30" s="9" t="s">
        <v>509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2.75" customHeight="1">
      <c r="A31" s="15" t="s">
        <v>493</v>
      </c>
      <c r="B31" s="16">
        <f>B17</f>
        <v>80000</v>
      </c>
      <c r="C31" s="17">
        <f t="shared" ref="C31:C34" si="2">B31</f>
        <v>80000</v>
      </c>
      <c r="D31" s="272" t="s">
        <v>515</v>
      </c>
      <c r="E31" s="273" t="s">
        <v>516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2.75" customHeight="1">
      <c r="A32" s="15" t="s">
        <v>494</v>
      </c>
      <c r="B32" s="16">
        <f>B31</f>
        <v>80000</v>
      </c>
      <c r="C32" s="17">
        <f t="shared" si="2"/>
        <v>80000</v>
      </c>
      <c r="D32" s="272" t="s">
        <v>515</v>
      </c>
      <c r="E32" s="273" t="s">
        <v>516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2.75" customHeight="1">
      <c r="A33" s="15" t="s">
        <v>495</v>
      </c>
      <c r="B33" s="16">
        <f t="shared" ref="B33:B34" si="3">B19</f>
        <v>85000</v>
      </c>
      <c r="C33" s="17">
        <f t="shared" si="2"/>
        <v>85000</v>
      </c>
      <c r="D33" s="272" t="s">
        <v>515</v>
      </c>
      <c r="E33" s="273" t="s">
        <v>516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2.75" customHeight="1">
      <c r="A34" s="15" t="s">
        <v>496</v>
      </c>
      <c r="B34" s="16">
        <f t="shared" si="3"/>
        <v>128000</v>
      </c>
      <c r="C34" s="17">
        <f t="shared" si="2"/>
        <v>128000</v>
      </c>
      <c r="D34" s="272" t="s">
        <v>517</v>
      </c>
      <c r="E34" s="273" t="s">
        <v>516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2.75" customHeight="1">
      <c r="A36" s="274" t="s">
        <v>520</v>
      </c>
      <c r="B36" s="274"/>
      <c r="C36" s="274"/>
      <c r="D36" s="27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9.0"/>
    <col customWidth="1" min="2" max="2" width="12.43"/>
    <col customWidth="1" min="3" max="21" width="10.86"/>
  </cols>
  <sheetData>
    <row r="1" ht="12.75" customHeight="1">
      <c r="A1" s="239" t="s">
        <v>523</v>
      </c>
      <c r="B1" s="243">
        <v>0.3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2.75" customHeight="1">
      <c r="A2" s="239" t="s">
        <v>524</v>
      </c>
      <c r="B2" s="243">
        <v>0.3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 customHeight="1">
      <c r="B3" s="28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9.0" customHeight="1">
      <c r="A4" s="246" t="s">
        <v>3</v>
      </c>
      <c r="B4" s="246" t="s">
        <v>10</v>
      </c>
      <c r="C4" s="3" t="s">
        <v>525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2.75" customHeight="1">
      <c r="A5" s="252" t="s">
        <v>473</v>
      </c>
      <c r="B5" s="250" t="str">
        <f>VLOOKUP(A5,Delgado!A:H,7,0)</f>
        <v/>
      </c>
      <c r="C5" s="3" t="b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2.75" customHeight="1">
      <c r="A6" s="252" t="s">
        <v>15</v>
      </c>
      <c r="B6" s="250" t="str">
        <f>VLOOKUP(A6,Delgado!A:H,7,0)</f>
        <v/>
      </c>
      <c r="C6" s="3" t="b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2.75" customHeight="1">
      <c r="A7" s="252" t="s">
        <v>17</v>
      </c>
      <c r="B7" s="250" t="str">
        <f>VLOOKUP(A7,Delgado!A:H,7,0)</f>
        <v/>
      </c>
      <c r="C7" s="3" t="b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2.75" customHeight="1">
      <c r="A8" s="252" t="s">
        <v>474</v>
      </c>
      <c r="B8" s="250" t="str">
        <f>VLOOKUP(A8,Delgado!A:H,7,0)</f>
        <v/>
      </c>
      <c r="C8" s="3" t="b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2.75" customHeight="1">
      <c r="A9" s="252" t="s">
        <v>475</v>
      </c>
      <c r="B9" s="250">
        <f>VLOOKUP(A9,Delgado!A:H,7,0)</f>
        <v>31500</v>
      </c>
      <c r="C9" s="3" t="b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2.75" customHeight="1">
      <c r="A10" s="252" t="s">
        <v>476</v>
      </c>
      <c r="B10" s="250">
        <f>VLOOKUP(A10,Delgado!A:H,7,0)</f>
        <v>15750</v>
      </c>
      <c r="C10" s="3" t="b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2.75" customHeight="1">
      <c r="A11" s="252" t="s">
        <v>477</v>
      </c>
      <c r="B11" s="250">
        <f>VLOOKUP(A11,Delgado!A:H,7,0)</f>
        <v>157500</v>
      </c>
      <c r="C11" s="3" t="b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2.75" customHeight="1">
      <c r="A12" s="252" t="s">
        <v>479</v>
      </c>
      <c r="B12" s="250">
        <f>VLOOKUP(A12,Delgado!A:H,7,0)</f>
        <v>189000</v>
      </c>
      <c r="C12" s="3" t="b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2.75" customHeight="1">
      <c r="A13" s="252" t="s">
        <v>480</v>
      </c>
      <c r="B13" s="250">
        <f>VLOOKUP(A13,Delgado!A:H,7,0)</f>
        <v>47250</v>
      </c>
      <c r="C13" s="3" t="b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2.75" customHeight="1">
      <c r="A14" s="252" t="s">
        <v>481</v>
      </c>
      <c r="B14" s="250" t="str">
        <f>VLOOKUP(A14,Delgado!A:H,7,0)</f>
        <v/>
      </c>
      <c r="C14" s="3" t="b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2.75" customHeight="1">
      <c r="A15" s="252" t="s">
        <v>482</v>
      </c>
      <c r="B15" s="250">
        <f>VLOOKUP(A15,Delgado!A:H,7,0)</f>
        <v>23625</v>
      </c>
      <c r="C15" s="3" t="b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2.75" customHeight="1">
      <c r="A16" s="252" t="s">
        <v>497</v>
      </c>
      <c r="B16" s="250">
        <f>125000*0.8</f>
        <v>100000</v>
      </c>
      <c r="C16" s="3" t="b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2.75" customHeight="1">
      <c r="A17" s="252" t="s">
        <v>498</v>
      </c>
      <c r="B17" s="250">
        <f>82500*0.8</f>
        <v>66000</v>
      </c>
      <c r="C17" s="3" t="b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2.75" customHeight="1">
      <c r="A23" s="26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3.71"/>
    <col customWidth="1" min="2" max="2" width="12.43"/>
    <col customWidth="1" min="3" max="5" width="11.43"/>
    <col customWidth="1" min="6" max="6" width="12.43"/>
    <col customWidth="1" min="7" max="9" width="13.43"/>
    <col customWidth="1" min="10" max="10" width="14.71"/>
    <col customWidth="1" hidden="1" min="11" max="11" width="14.71"/>
    <col customWidth="1" min="12" max="29" width="10.86"/>
  </cols>
  <sheetData>
    <row r="1" ht="40.5" customHeight="1">
      <c r="A1" s="282" t="s">
        <v>526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75" customHeight="1">
      <c r="A2" s="3"/>
      <c r="B2" s="3"/>
      <c r="C2" s="3"/>
      <c r="D2" s="3"/>
      <c r="E2" s="3"/>
      <c r="F2" s="3"/>
      <c r="G2" s="3"/>
      <c r="H2" s="268">
        <v>0.6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2.75" customHeight="1">
      <c r="A3" s="280"/>
      <c r="B3" s="3"/>
      <c r="C3" s="3"/>
      <c r="D3" s="3"/>
      <c r="E3" s="268">
        <v>0.12</v>
      </c>
      <c r="F3" s="3"/>
      <c r="G3" s="283"/>
      <c r="H3" s="284"/>
      <c r="I3" s="284">
        <v>0.25</v>
      </c>
      <c r="J3" s="8">
        <v>0.25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39.0" customHeight="1">
      <c r="A4" s="285" t="s">
        <v>3</v>
      </c>
      <c r="B4" s="286" t="s">
        <v>4</v>
      </c>
      <c r="C4" s="285" t="s">
        <v>527</v>
      </c>
      <c r="D4" s="9" t="s">
        <v>6</v>
      </c>
      <c r="E4" s="9" t="s">
        <v>8</v>
      </c>
      <c r="F4" s="285" t="s">
        <v>528</v>
      </c>
      <c r="G4" s="287" t="s">
        <v>9</v>
      </c>
      <c r="H4" s="288" t="s">
        <v>529</v>
      </c>
      <c r="I4" s="289" t="s">
        <v>530</v>
      </c>
      <c r="J4" s="271" t="s">
        <v>531</v>
      </c>
      <c r="K4" s="285" t="s">
        <v>219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2.75" customHeight="1">
      <c r="A5" s="290" t="s">
        <v>532</v>
      </c>
      <c r="B5" s="16">
        <v>85049.0</v>
      </c>
      <c r="C5" s="272" t="s">
        <v>18</v>
      </c>
      <c r="D5" s="16">
        <v>0.0</v>
      </c>
      <c r="E5" s="17">
        <f t="shared" ref="E5:E8" si="1">B5*$E$3</f>
        <v>10205.88</v>
      </c>
      <c r="F5" s="17">
        <f t="shared" ref="F5:F8" si="2">SUM(B5:E5)</f>
        <v>95254.88</v>
      </c>
      <c r="G5" s="291">
        <v>168600.0</v>
      </c>
      <c r="H5" s="292">
        <f>G5*0.9</f>
        <v>151740</v>
      </c>
      <c r="I5" s="291">
        <f t="shared" ref="I5:I8" si="3">H5*0.8</f>
        <v>121392</v>
      </c>
      <c r="J5" s="16">
        <f t="shared" ref="J5:J6" si="4">I5</f>
        <v>121392</v>
      </c>
      <c r="K5" s="17">
        <f t="shared" ref="K5:K8" si="5">I5-F5</f>
        <v>26137.12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2.75" customHeight="1">
      <c r="A6" s="290" t="s">
        <v>533</v>
      </c>
      <c r="B6" s="16">
        <v>7197.36</v>
      </c>
      <c r="C6" s="293" t="s">
        <v>23</v>
      </c>
      <c r="D6" s="16">
        <v>0.0</v>
      </c>
      <c r="E6" s="17">
        <f t="shared" si="1"/>
        <v>863.6832</v>
      </c>
      <c r="F6" s="17">
        <f t="shared" si="2"/>
        <v>8061.0432</v>
      </c>
      <c r="G6" s="294"/>
      <c r="H6" s="291">
        <v>22000.0</v>
      </c>
      <c r="I6" s="291">
        <f t="shared" si="3"/>
        <v>17600</v>
      </c>
      <c r="J6" s="16">
        <f t="shared" si="4"/>
        <v>17600</v>
      </c>
      <c r="K6" s="17">
        <f t="shared" si="5"/>
        <v>9538.9568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2.75" customHeight="1">
      <c r="A7" s="290" t="s">
        <v>534</v>
      </c>
      <c r="B7" s="16">
        <v>32697.94</v>
      </c>
      <c r="C7" s="293" t="s">
        <v>16</v>
      </c>
      <c r="D7" s="16">
        <v>0.0</v>
      </c>
      <c r="E7" s="17">
        <f t="shared" si="1"/>
        <v>3923.7528</v>
      </c>
      <c r="F7" s="17">
        <f t="shared" si="2"/>
        <v>36621.6928</v>
      </c>
      <c r="G7" s="291">
        <v>140500.0</v>
      </c>
      <c r="H7" s="292">
        <f>G7*0.9</f>
        <v>126450</v>
      </c>
      <c r="I7" s="292">
        <f t="shared" si="3"/>
        <v>101160</v>
      </c>
      <c r="J7" s="16">
        <f>H7*0.8</f>
        <v>101160</v>
      </c>
      <c r="K7" s="17">
        <f t="shared" si="5"/>
        <v>64538.3072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2.75" customHeight="1">
      <c r="A8" s="295" t="s">
        <v>501</v>
      </c>
      <c r="B8" s="16">
        <v>134400.0</v>
      </c>
      <c r="C8" s="293" t="s">
        <v>502</v>
      </c>
      <c r="D8" s="16">
        <v>20000.0</v>
      </c>
      <c r="E8" s="17">
        <f t="shared" si="1"/>
        <v>16128</v>
      </c>
      <c r="F8" s="17">
        <f t="shared" si="2"/>
        <v>170528</v>
      </c>
      <c r="G8" s="292"/>
      <c r="H8" s="292">
        <f>F8*(1+$H$2)</f>
        <v>272844.8</v>
      </c>
      <c r="I8" s="292">
        <f t="shared" si="3"/>
        <v>218275.84</v>
      </c>
      <c r="J8" s="17">
        <f>I8</f>
        <v>218275.84</v>
      </c>
      <c r="K8" s="17">
        <f t="shared" si="5"/>
        <v>47747.84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2.75" customHeight="1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2.75" customHeight="1">
      <c r="A10" s="295" t="s">
        <v>535</v>
      </c>
      <c r="B10" s="16">
        <f>SUM(B5:B8)</f>
        <v>259344.3</v>
      </c>
      <c r="C10" s="293"/>
      <c r="D10" s="16">
        <f t="shared" ref="D10:F10" si="6">SUM(D5:D8)</f>
        <v>20000</v>
      </c>
      <c r="E10" s="16">
        <f t="shared" si="6"/>
        <v>31121.316</v>
      </c>
      <c r="F10" s="16">
        <f t="shared" si="6"/>
        <v>310465.616</v>
      </c>
      <c r="G10" s="292"/>
      <c r="H10" s="292">
        <f>SUM(H5:H8)*(1-$H$11)</f>
        <v>515731.32</v>
      </c>
      <c r="I10" s="292">
        <f t="shared" ref="I10:J10" si="7">SUM(I5:I8)*(1-$I$11)</f>
        <v>435506.448</v>
      </c>
      <c r="J10" s="292">
        <f t="shared" si="7"/>
        <v>435506.448</v>
      </c>
      <c r="K10" s="17">
        <f>I10-F10</f>
        <v>125040.832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2.75" customHeight="1">
      <c r="A11" s="3"/>
      <c r="B11" s="3"/>
      <c r="C11" s="3"/>
      <c r="D11" s="3"/>
      <c r="E11" s="3"/>
      <c r="F11" s="3"/>
      <c r="G11" s="3"/>
      <c r="H11" s="8">
        <v>0.1</v>
      </c>
      <c r="I11" s="8">
        <v>0.05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20.14"/>
    <col customWidth="1" min="7" max="7" width="27.0"/>
  </cols>
  <sheetData>
    <row r="1">
      <c r="A1" s="297" t="s">
        <v>536</v>
      </c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</row>
    <row r="2">
      <c r="A2" s="299" t="s">
        <v>537</v>
      </c>
      <c r="B2" s="299" t="s">
        <v>538</v>
      </c>
      <c r="C2" s="300" t="s">
        <v>539</v>
      </c>
      <c r="D2" s="300" t="s">
        <v>540</v>
      </c>
      <c r="E2" s="300" t="s">
        <v>9</v>
      </c>
      <c r="F2" s="299" t="s">
        <v>112</v>
      </c>
      <c r="G2" s="300" t="s">
        <v>541</v>
      </c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</row>
    <row r="3" ht="18.75" customHeight="1">
      <c r="A3" s="301" t="s">
        <v>542</v>
      </c>
      <c r="B3" s="140" t="s">
        <v>543</v>
      </c>
      <c r="C3" s="302">
        <v>32697.94</v>
      </c>
      <c r="D3" s="302" t="s">
        <v>14</v>
      </c>
      <c r="E3" s="302">
        <v>140500.0</v>
      </c>
      <c r="F3" s="140">
        <v>100.0</v>
      </c>
      <c r="G3" s="303">
        <v>41537.49</v>
      </c>
      <c r="H3" s="215">
        <f>G3-C3</f>
        <v>8839.55</v>
      </c>
    </row>
    <row r="4" ht="21.0" customHeight="1">
      <c r="A4" s="301"/>
      <c r="B4" s="140" t="s">
        <v>544</v>
      </c>
      <c r="C4" s="302">
        <v>85049.0</v>
      </c>
      <c r="D4" s="302" t="s">
        <v>18</v>
      </c>
      <c r="E4" s="302">
        <v>168600.0</v>
      </c>
      <c r="F4" s="140">
        <v>120.0</v>
      </c>
      <c r="G4" s="303">
        <v>53330.41</v>
      </c>
      <c r="H4" s="206" t="str">
        <f>G4-B4</f>
        <v>#VALUE!</v>
      </c>
    </row>
    <row r="5" ht="19.5" customHeight="1">
      <c r="A5" s="304"/>
      <c r="B5" s="305" t="s">
        <v>545</v>
      </c>
      <c r="C5" s="306">
        <v>85124.0</v>
      </c>
      <c r="D5" s="306" t="s">
        <v>18</v>
      </c>
      <c r="E5" s="306">
        <v>224800.0</v>
      </c>
      <c r="F5" s="305">
        <v>160.0</v>
      </c>
      <c r="G5" s="307">
        <v>47097.23</v>
      </c>
      <c r="H5" s="140" t="s">
        <v>546</v>
      </c>
    </row>
    <row r="6" ht="19.5" customHeight="1">
      <c r="A6" s="308" t="s">
        <v>547</v>
      </c>
      <c r="B6" s="140" t="s">
        <v>543</v>
      </c>
      <c r="C6" s="302">
        <v>32697.94</v>
      </c>
      <c r="D6" s="302" t="s">
        <v>14</v>
      </c>
      <c r="E6" s="302">
        <v>140500.0</v>
      </c>
      <c r="F6" s="140">
        <v>100.0</v>
      </c>
      <c r="G6" s="303">
        <v>68053.21</v>
      </c>
    </row>
    <row r="7" ht="20.25" customHeight="1">
      <c r="A7" s="308"/>
      <c r="B7" s="140" t="s">
        <v>544</v>
      </c>
      <c r="C7" s="302">
        <v>85049.0</v>
      </c>
      <c r="D7" s="302" t="s">
        <v>18</v>
      </c>
      <c r="E7" s="302">
        <v>168600.0</v>
      </c>
      <c r="F7" s="140">
        <v>120.0</v>
      </c>
      <c r="G7" s="303">
        <v>111408.3</v>
      </c>
    </row>
    <row r="8" ht="21.0" customHeight="1">
      <c r="A8" s="309"/>
      <c r="B8" s="305" t="s">
        <v>545</v>
      </c>
      <c r="C8" s="306">
        <v>85124.0</v>
      </c>
      <c r="D8" s="306" t="s">
        <v>18</v>
      </c>
      <c r="E8" s="306">
        <v>224800.0</v>
      </c>
      <c r="F8" s="305">
        <v>160.0</v>
      </c>
      <c r="G8" s="307">
        <v>111408.3</v>
      </c>
    </row>
    <row r="9" ht="21.0" customHeight="1">
      <c r="A9" s="310" t="s">
        <v>548</v>
      </c>
      <c r="B9" s="140" t="s">
        <v>543</v>
      </c>
      <c r="C9" s="302">
        <v>32697.94</v>
      </c>
      <c r="D9" s="302" t="s">
        <v>14</v>
      </c>
      <c r="E9" s="302">
        <v>140500.0</v>
      </c>
      <c r="F9" s="140">
        <v>100.0</v>
      </c>
      <c r="G9" s="215"/>
    </row>
    <row r="10" ht="19.5" customHeight="1">
      <c r="A10" s="308"/>
      <c r="B10" s="140" t="s">
        <v>544</v>
      </c>
      <c r="C10" s="302">
        <v>85049.0</v>
      </c>
      <c r="D10" s="302" t="s">
        <v>18</v>
      </c>
      <c r="E10" s="302">
        <v>168600.0</v>
      </c>
      <c r="F10" s="140">
        <v>120.0</v>
      </c>
      <c r="G10" s="215"/>
    </row>
    <row r="11" ht="18.0" customHeight="1">
      <c r="A11" s="309"/>
      <c r="B11" s="305" t="s">
        <v>545</v>
      </c>
      <c r="C11" s="306">
        <v>85124.0</v>
      </c>
      <c r="D11" s="306" t="s">
        <v>18</v>
      </c>
      <c r="E11" s="306">
        <v>224800.0</v>
      </c>
      <c r="F11" s="305">
        <v>160.0</v>
      </c>
      <c r="G11" s="311"/>
    </row>
    <row r="12">
      <c r="C12" s="215"/>
      <c r="D12" s="215"/>
      <c r="E12" s="215"/>
      <c r="G12" s="215"/>
    </row>
    <row r="13">
      <c r="C13" s="215"/>
      <c r="D13" s="215"/>
      <c r="E13" s="215"/>
      <c r="G13" s="215"/>
    </row>
    <row r="14">
      <c r="C14" s="215"/>
      <c r="D14" s="215"/>
      <c r="E14" s="215"/>
      <c r="G14" s="215"/>
    </row>
    <row r="15">
      <c r="C15" s="215"/>
      <c r="D15" s="215"/>
      <c r="E15" s="215"/>
      <c r="G15" s="215"/>
    </row>
    <row r="16">
      <c r="C16" s="215"/>
      <c r="D16" s="215"/>
      <c r="E16" s="215"/>
      <c r="G16" s="215"/>
    </row>
    <row r="17">
      <c r="C17" s="215"/>
      <c r="D17" s="215"/>
      <c r="E17" s="215"/>
      <c r="G17" s="215"/>
    </row>
    <row r="18">
      <c r="C18" s="215"/>
      <c r="D18" s="215"/>
      <c r="E18" s="215"/>
      <c r="G18" s="215"/>
    </row>
    <row r="19">
      <c r="C19" s="215"/>
      <c r="D19" s="215"/>
      <c r="E19" s="215"/>
      <c r="G19" s="215"/>
    </row>
    <row r="20">
      <c r="C20" s="215"/>
      <c r="D20" s="215"/>
      <c r="E20" s="215"/>
      <c r="G20" s="215"/>
    </row>
    <row r="21">
      <c r="C21" s="215"/>
      <c r="D21" s="215"/>
      <c r="E21" s="215"/>
      <c r="G21" s="215"/>
    </row>
    <row r="22">
      <c r="C22" s="215"/>
      <c r="D22" s="215"/>
      <c r="E22" s="215"/>
      <c r="G22" s="215"/>
    </row>
    <row r="23">
      <c r="C23" s="215"/>
      <c r="D23" s="215"/>
      <c r="E23" s="215"/>
      <c r="G23" s="215"/>
    </row>
    <row r="24">
      <c r="C24" s="215"/>
      <c r="D24" s="215"/>
      <c r="E24" s="215"/>
      <c r="G24" s="215"/>
    </row>
    <row r="25">
      <c r="C25" s="215"/>
      <c r="D25" s="215"/>
      <c r="E25" s="215"/>
      <c r="G25" s="215"/>
    </row>
    <row r="26">
      <c r="C26" s="215"/>
      <c r="D26" s="215"/>
      <c r="E26" s="215"/>
      <c r="G26" s="215"/>
    </row>
    <row r="27">
      <c r="C27" s="215"/>
      <c r="D27" s="215"/>
      <c r="E27" s="215"/>
      <c r="G27" s="215"/>
    </row>
    <row r="28">
      <c r="C28" s="215"/>
      <c r="D28" s="215"/>
      <c r="E28" s="215"/>
      <c r="G28" s="215"/>
    </row>
    <row r="29">
      <c r="C29" s="215"/>
      <c r="D29" s="215"/>
      <c r="E29" s="215"/>
      <c r="G29" s="215"/>
    </row>
    <row r="30">
      <c r="C30" s="215"/>
      <c r="D30" s="215"/>
      <c r="E30" s="215"/>
      <c r="G30" s="215"/>
    </row>
    <row r="31">
      <c r="C31" s="215"/>
      <c r="D31" s="215"/>
      <c r="E31" s="215"/>
      <c r="G31" s="215"/>
    </row>
    <row r="32">
      <c r="C32" s="215"/>
      <c r="D32" s="215"/>
      <c r="E32" s="215"/>
      <c r="G32" s="215"/>
    </row>
    <row r="33">
      <c r="C33" s="215"/>
      <c r="D33" s="215"/>
      <c r="E33" s="215"/>
      <c r="G33" s="215"/>
    </row>
    <row r="34">
      <c r="C34" s="215"/>
      <c r="D34" s="215"/>
      <c r="E34" s="215"/>
      <c r="G34" s="215"/>
    </row>
    <row r="35">
      <c r="C35" s="215"/>
      <c r="D35" s="215"/>
      <c r="E35" s="215"/>
      <c r="G35" s="215"/>
    </row>
    <row r="36">
      <c r="C36" s="215"/>
      <c r="D36" s="215"/>
      <c r="E36" s="215"/>
      <c r="G36" s="215"/>
    </row>
    <row r="37">
      <c r="C37" s="215"/>
      <c r="D37" s="215"/>
      <c r="E37" s="215"/>
      <c r="G37" s="215"/>
    </row>
    <row r="38">
      <c r="C38" s="215"/>
      <c r="D38" s="215"/>
      <c r="E38" s="215"/>
      <c r="G38" s="215"/>
    </row>
    <row r="39">
      <c r="C39" s="215"/>
      <c r="D39" s="215"/>
      <c r="E39" s="215"/>
      <c r="G39" s="215"/>
    </row>
    <row r="40">
      <c r="C40" s="215"/>
      <c r="D40" s="215"/>
      <c r="E40" s="215"/>
      <c r="G40" s="215"/>
    </row>
    <row r="41">
      <c r="C41" s="215"/>
      <c r="D41" s="215"/>
      <c r="E41" s="215"/>
      <c r="G41" s="215"/>
    </row>
    <row r="42">
      <c r="C42" s="215"/>
      <c r="D42" s="215"/>
      <c r="E42" s="215"/>
      <c r="G42" s="215"/>
    </row>
    <row r="43">
      <c r="C43" s="215"/>
      <c r="D43" s="215"/>
      <c r="E43" s="215"/>
      <c r="G43" s="215"/>
    </row>
    <row r="44">
      <c r="C44" s="215"/>
      <c r="D44" s="215"/>
      <c r="E44" s="215"/>
      <c r="G44" s="215"/>
    </row>
    <row r="45">
      <c r="C45" s="215"/>
      <c r="D45" s="215"/>
      <c r="E45" s="215"/>
      <c r="G45" s="215"/>
    </row>
    <row r="46">
      <c r="C46" s="215"/>
      <c r="D46" s="215"/>
      <c r="E46" s="215"/>
      <c r="G46" s="215"/>
    </row>
    <row r="47">
      <c r="C47" s="215"/>
      <c r="D47" s="215"/>
      <c r="E47" s="215"/>
      <c r="G47" s="215"/>
    </row>
    <row r="48">
      <c r="C48" s="215"/>
      <c r="D48" s="215"/>
      <c r="E48" s="215"/>
      <c r="G48" s="215"/>
    </row>
    <row r="49">
      <c r="C49" s="215"/>
      <c r="D49" s="215"/>
      <c r="E49" s="215"/>
      <c r="G49" s="215"/>
    </row>
    <row r="50">
      <c r="C50" s="215"/>
      <c r="D50" s="215"/>
      <c r="E50" s="215"/>
      <c r="G50" s="215"/>
    </row>
    <row r="51">
      <c r="C51" s="215"/>
      <c r="D51" s="215"/>
      <c r="E51" s="215"/>
      <c r="G51" s="215"/>
    </row>
    <row r="52">
      <c r="C52" s="215"/>
      <c r="D52" s="215"/>
      <c r="E52" s="215"/>
      <c r="G52" s="215"/>
    </row>
    <row r="53">
      <c r="C53" s="215"/>
      <c r="D53" s="215"/>
      <c r="E53" s="215"/>
      <c r="G53" s="215"/>
    </row>
    <row r="54">
      <c r="C54" s="215"/>
      <c r="D54" s="215"/>
      <c r="E54" s="215"/>
      <c r="G54" s="215"/>
    </row>
    <row r="55">
      <c r="C55" s="215"/>
      <c r="D55" s="215"/>
      <c r="E55" s="215"/>
      <c r="G55" s="215"/>
    </row>
    <row r="56">
      <c r="C56" s="215"/>
      <c r="D56" s="215"/>
      <c r="E56" s="215"/>
      <c r="G56" s="215"/>
    </row>
    <row r="57">
      <c r="C57" s="215"/>
      <c r="D57" s="215"/>
      <c r="E57" s="215"/>
      <c r="G57" s="215"/>
    </row>
    <row r="58">
      <c r="C58" s="215"/>
      <c r="D58" s="215"/>
      <c r="E58" s="215"/>
      <c r="G58" s="215"/>
    </row>
    <row r="59">
      <c r="C59" s="215"/>
      <c r="D59" s="215"/>
      <c r="E59" s="215"/>
      <c r="G59" s="215"/>
    </row>
    <row r="60">
      <c r="C60" s="215"/>
      <c r="D60" s="215"/>
      <c r="E60" s="215"/>
      <c r="G60" s="215"/>
    </row>
    <row r="61">
      <c r="C61" s="215"/>
      <c r="D61" s="215"/>
      <c r="E61" s="215"/>
      <c r="G61" s="215"/>
    </row>
    <row r="62">
      <c r="C62" s="215"/>
      <c r="D62" s="215"/>
      <c r="E62" s="215"/>
      <c r="G62" s="215"/>
    </row>
    <row r="63">
      <c r="C63" s="215"/>
      <c r="D63" s="215"/>
      <c r="E63" s="215"/>
      <c r="G63" s="215"/>
    </row>
    <row r="64">
      <c r="C64" s="215"/>
      <c r="D64" s="215"/>
      <c r="E64" s="215"/>
      <c r="G64" s="215"/>
    </row>
    <row r="65">
      <c r="C65" s="215"/>
      <c r="D65" s="215"/>
      <c r="E65" s="215"/>
      <c r="G65" s="215"/>
    </row>
    <row r="66">
      <c r="C66" s="215"/>
      <c r="D66" s="215"/>
      <c r="E66" s="215"/>
      <c r="G66" s="215"/>
    </row>
    <row r="67">
      <c r="C67" s="215"/>
      <c r="D67" s="215"/>
      <c r="E67" s="215"/>
      <c r="G67" s="215"/>
    </row>
    <row r="68">
      <c r="C68" s="215"/>
      <c r="D68" s="215"/>
      <c r="E68" s="215"/>
      <c r="G68" s="215"/>
    </row>
    <row r="69">
      <c r="C69" s="215"/>
      <c r="D69" s="215"/>
      <c r="E69" s="215"/>
      <c r="G69" s="215"/>
    </row>
    <row r="70">
      <c r="C70" s="215"/>
      <c r="D70" s="215"/>
      <c r="E70" s="215"/>
      <c r="G70" s="215"/>
    </row>
    <row r="71">
      <c r="C71" s="215"/>
      <c r="D71" s="215"/>
      <c r="E71" s="215"/>
      <c r="G71" s="215"/>
    </row>
    <row r="72">
      <c r="C72" s="215"/>
      <c r="D72" s="215"/>
      <c r="E72" s="215"/>
      <c r="G72" s="215"/>
    </row>
    <row r="73">
      <c r="C73" s="215"/>
      <c r="D73" s="215"/>
      <c r="E73" s="215"/>
      <c r="G73" s="215"/>
    </row>
    <row r="74">
      <c r="C74" s="215"/>
      <c r="D74" s="215"/>
      <c r="E74" s="215"/>
      <c r="G74" s="215"/>
    </row>
    <row r="75">
      <c r="C75" s="215"/>
      <c r="D75" s="215"/>
      <c r="E75" s="215"/>
      <c r="G75" s="215"/>
    </row>
    <row r="76">
      <c r="C76" s="215"/>
      <c r="D76" s="215"/>
      <c r="E76" s="215"/>
      <c r="G76" s="215"/>
    </row>
    <row r="77">
      <c r="C77" s="215"/>
      <c r="D77" s="215"/>
      <c r="E77" s="215"/>
      <c r="G77" s="215"/>
    </row>
    <row r="78">
      <c r="C78" s="215"/>
      <c r="D78" s="215"/>
      <c r="E78" s="215"/>
      <c r="G78" s="215"/>
    </row>
    <row r="79">
      <c r="C79" s="215"/>
      <c r="D79" s="215"/>
      <c r="E79" s="215"/>
      <c r="G79" s="215"/>
    </row>
    <row r="80">
      <c r="C80" s="215"/>
      <c r="D80" s="215"/>
      <c r="E80" s="215"/>
      <c r="G80" s="215"/>
    </row>
    <row r="81">
      <c r="C81" s="215"/>
      <c r="D81" s="215"/>
      <c r="E81" s="215"/>
      <c r="G81" s="215"/>
    </row>
    <row r="82">
      <c r="C82" s="215"/>
      <c r="D82" s="215"/>
      <c r="E82" s="215"/>
      <c r="G82" s="215"/>
    </row>
    <row r="83">
      <c r="C83" s="215"/>
      <c r="D83" s="215"/>
      <c r="E83" s="215"/>
      <c r="G83" s="215"/>
    </row>
    <row r="84">
      <c r="C84" s="215"/>
      <c r="D84" s="215"/>
      <c r="E84" s="215"/>
      <c r="G84" s="215"/>
    </row>
    <row r="85">
      <c r="C85" s="215"/>
      <c r="D85" s="215"/>
      <c r="E85" s="215"/>
      <c r="G85" s="215"/>
    </row>
    <row r="86">
      <c r="C86" s="215"/>
      <c r="D86" s="215"/>
      <c r="E86" s="215"/>
      <c r="G86" s="215"/>
    </row>
    <row r="87">
      <c r="C87" s="215"/>
      <c r="D87" s="215"/>
      <c r="E87" s="215"/>
      <c r="G87" s="215"/>
    </row>
    <row r="88">
      <c r="C88" s="215"/>
      <c r="D88" s="215"/>
      <c r="E88" s="215"/>
      <c r="G88" s="215"/>
    </row>
    <row r="89">
      <c r="C89" s="215"/>
      <c r="D89" s="215"/>
      <c r="E89" s="215"/>
      <c r="G89" s="215"/>
    </row>
    <row r="90">
      <c r="C90" s="215"/>
      <c r="D90" s="215"/>
      <c r="E90" s="215"/>
      <c r="G90" s="215"/>
    </row>
    <row r="91">
      <c r="C91" s="215"/>
      <c r="D91" s="215"/>
      <c r="E91" s="215"/>
      <c r="G91" s="215"/>
    </row>
    <row r="92">
      <c r="C92" s="215"/>
      <c r="D92" s="215"/>
      <c r="E92" s="215"/>
      <c r="G92" s="215"/>
    </row>
    <row r="93">
      <c r="C93" s="215"/>
      <c r="D93" s="215"/>
      <c r="E93" s="215"/>
      <c r="G93" s="215"/>
    </row>
    <row r="94">
      <c r="C94" s="215"/>
      <c r="D94" s="215"/>
      <c r="E94" s="215"/>
      <c r="G94" s="215"/>
    </row>
    <row r="95">
      <c r="C95" s="215"/>
      <c r="D95" s="215"/>
      <c r="E95" s="215"/>
      <c r="G95" s="215"/>
    </row>
    <row r="96">
      <c r="C96" s="215"/>
      <c r="D96" s="215"/>
      <c r="E96" s="215"/>
      <c r="G96" s="215"/>
    </row>
    <row r="97">
      <c r="C97" s="215"/>
      <c r="D97" s="215"/>
      <c r="E97" s="215"/>
      <c r="G97" s="215"/>
    </row>
    <row r="98">
      <c r="C98" s="215"/>
      <c r="D98" s="215"/>
      <c r="E98" s="215"/>
      <c r="G98" s="215"/>
    </row>
    <row r="99">
      <c r="C99" s="215"/>
      <c r="D99" s="215"/>
      <c r="E99" s="215"/>
      <c r="G99" s="215"/>
    </row>
    <row r="100">
      <c r="C100" s="215"/>
      <c r="D100" s="215"/>
      <c r="E100" s="215"/>
      <c r="G100" s="215"/>
    </row>
    <row r="101">
      <c r="C101" s="215"/>
      <c r="D101" s="215"/>
      <c r="E101" s="215"/>
      <c r="G101" s="215"/>
    </row>
    <row r="102">
      <c r="C102" s="215"/>
      <c r="D102" s="215"/>
      <c r="E102" s="215"/>
      <c r="G102" s="215"/>
    </row>
    <row r="103">
      <c r="C103" s="215"/>
      <c r="D103" s="215"/>
      <c r="E103" s="215"/>
      <c r="G103" s="215"/>
    </row>
    <row r="104">
      <c r="C104" s="215"/>
      <c r="D104" s="215"/>
      <c r="E104" s="215"/>
      <c r="G104" s="215"/>
    </row>
    <row r="105">
      <c r="C105" s="215"/>
      <c r="D105" s="215"/>
      <c r="E105" s="215"/>
      <c r="G105" s="215"/>
    </row>
    <row r="106">
      <c r="C106" s="215"/>
      <c r="D106" s="215"/>
      <c r="E106" s="215"/>
      <c r="G106" s="215"/>
    </row>
    <row r="107">
      <c r="C107" s="215"/>
      <c r="D107" s="215"/>
      <c r="E107" s="215"/>
      <c r="G107" s="215"/>
    </row>
    <row r="108">
      <c r="C108" s="215"/>
      <c r="D108" s="215"/>
      <c r="E108" s="215"/>
      <c r="G108" s="215"/>
    </row>
    <row r="109">
      <c r="C109" s="215"/>
      <c r="D109" s="215"/>
      <c r="E109" s="215"/>
      <c r="G109" s="215"/>
    </row>
    <row r="110">
      <c r="C110" s="215"/>
      <c r="D110" s="215"/>
      <c r="E110" s="215"/>
      <c r="G110" s="215"/>
    </row>
    <row r="111">
      <c r="C111" s="215"/>
      <c r="D111" s="215"/>
      <c r="E111" s="215"/>
      <c r="G111" s="215"/>
    </row>
    <row r="112">
      <c r="C112" s="215"/>
      <c r="D112" s="215"/>
      <c r="E112" s="215"/>
      <c r="G112" s="215"/>
    </row>
    <row r="113">
      <c r="C113" s="215"/>
      <c r="D113" s="215"/>
      <c r="E113" s="215"/>
      <c r="G113" s="215"/>
    </row>
    <row r="114">
      <c r="C114" s="215"/>
      <c r="D114" s="215"/>
      <c r="E114" s="215"/>
      <c r="G114" s="215"/>
    </row>
    <row r="115">
      <c r="C115" s="215"/>
      <c r="D115" s="215"/>
      <c r="E115" s="215"/>
      <c r="G115" s="215"/>
    </row>
    <row r="116">
      <c r="C116" s="215"/>
      <c r="D116" s="215"/>
      <c r="E116" s="215"/>
      <c r="G116" s="215"/>
    </row>
    <row r="117">
      <c r="C117" s="215"/>
      <c r="D117" s="215"/>
      <c r="E117" s="215"/>
      <c r="G117" s="215"/>
    </row>
    <row r="118">
      <c r="C118" s="215"/>
      <c r="D118" s="215"/>
      <c r="E118" s="215"/>
      <c r="G118" s="215"/>
    </row>
    <row r="119">
      <c r="C119" s="215"/>
      <c r="D119" s="215"/>
      <c r="E119" s="215"/>
      <c r="G119" s="215"/>
    </row>
    <row r="120">
      <c r="C120" s="215"/>
      <c r="D120" s="215"/>
      <c r="E120" s="215"/>
      <c r="G120" s="215"/>
    </row>
    <row r="121">
      <c r="C121" s="215"/>
      <c r="D121" s="215"/>
      <c r="E121" s="215"/>
      <c r="G121" s="215"/>
    </row>
    <row r="122">
      <c r="C122" s="215"/>
      <c r="D122" s="215"/>
      <c r="E122" s="215"/>
      <c r="G122" s="215"/>
    </row>
    <row r="123">
      <c r="C123" s="215"/>
      <c r="D123" s="215"/>
      <c r="E123" s="215"/>
      <c r="G123" s="215"/>
    </row>
    <row r="124">
      <c r="C124" s="215"/>
      <c r="D124" s="215"/>
      <c r="E124" s="215"/>
      <c r="G124" s="215"/>
    </row>
    <row r="125">
      <c r="C125" s="215"/>
      <c r="D125" s="215"/>
      <c r="E125" s="215"/>
      <c r="G125" s="215"/>
    </row>
    <row r="126">
      <c r="C126" s="215"/>
      <c r="D126" s="215"/>
      <c r="E126" s="215"/>
      <c r="G126" s="215"/>
    </row>
    <row r="127">
      <c r="C127" s="215"/>
      <c r="D127" s="215"/>
      <c r="E127" s="215"/>
      <c r="G127" s="215"/>
    </row>
    <row r="128">
      <c r="C128" s="215"/>
      <c r="D128" s="215"/>
      <c r="E128" s="215"/>
      <c r="G128" s="215"/>
    </row>
    <row r="129">
      <c r="C129" s="215"/>
      <c r="D129" s="215"/>
      <c r="E129" s="215"/>
      <c r="G129" s="215"/>
    </row>
    <row r="130">
      <c r="C130" s="215"/>
      <c r="D130" s="215"/>
      <c r="E130" s="215"/>
      <c r="G130" s="215"/>
    </row>
    <row r="131">
      <c r="C131" s="215"/>
      <c r="D131" s="215"/>
      <c r="E131" s="215"/>
      <c r="G131" s="215"/>
    </row>
    <row r="132">
      <c r="C132" s="215"/>
      <c r="D132" s="215"/>
      <c r="E132" s="215"/>
      <c r="G132" s="215"/>
    </row>
    <row r="133">
      <c r="C133" s="215"/>
      <c r="D133" s="215"/>
      <c r="E133" s="215"/>
      <c r="G133" s="215"/>
    </row>
    <row r="134">
      <c r="C134" s="215"/>
      <c r="D134" s="215"/>
      <c r="E134" s="215"/>
      <c r="G134" s="215"/>
    </row>
    <row r="135">
      <c r="C135" s="215"/>
      <c r="D135" s="215"/>
      <c r="E135" s="215"/>
      <c r="G135" s="215"/>
    </row>
    <row r="136">
      <c r="C136" s="215"/>
      <c r="D136" s="215"/>
      <c r="E136" s="215"/>
      <c r="G136" s="215"/>
    </row>
    <row r="137">
      <c r="C137" s="215"/>
      <c r="D137" s="215"/>
      <c r="E137" s="215"/>
      <c r="G137" s="215"/>
    </row>
    <row r="138">
      <c r="C138" s="215"/>
      <c r="D138" s="215"/>
      <c r="E138" s="215"/>
      <c r="G138" s="215"/>
    </row>
    <row r="139">
      <c r="C139" s="215"/>
      <c r="D139" s="215"/>
      <c r="E139" s="215"/>
      <c r="G139" s="215"/>
    </row>
    <row r="140">
      <c r="C140" s="215"/>
      <c r="D140" s="215"/>
      <c r="E140" s="215"/>
      <c r="G140" s="215"/>
    </row>
    <row r="141">
      <c r="C141" s="215"/>
      <c r="D141" s="215"/>
      <c r="E141" s="215"/>
      <c r="G141" s="215"/>
    </row>
    <row r="142">
      <c r="C142" s="215"/>
      <c r="D142" s="215"/>
      <c r="E142" s="215"/>
      <c r="G142" s="215"/>
    </row>
    <row r="143">
      <c r="C143" s="215"/>
      <c r="D143" s="215"/>
      <c r="E143" s="215"/>
      <c r="G143" s="215"/>
    </row>
    <row r="144">
      <c r="C144" s="215"/>
      <c r="D144" s="215"/>
      <c r="E144" s="215"/>
      <c r="G144" s="215"/>
    </row>
    <row r="145">
      <c r="C145" s="215"/>
      <c r="D145" s="215"/>
      <c r="E145" s="215"/>
      <c r="G145" s="215"/>
    </row>
    <row r="146">
      <c r="C146" s="215"/>
      <c r="D146" s="215"/>
      <c r="E146" s="215"/>
      <c r="G146" s="215"/>
    </row>
    <row r="147">
      <c r="C147" s="215"/>
      <c r="D147" s="215"/>
      <c r="E147" s="215"/>
      <c r="G147" s="215"/>
    </row>
    <row r="148">
      <c r="C148" s="215"/>
      <c r="D148" s="215"/>
      <c r="E148" s="215"/>
      <c r="G148" s="215"/>
    </row>
    <row r="149">
      <c r="C149" s="215"/>
      <c r="D149" s="215"/>
      <c r="E149" s="215"/>
      <c r="G149" s="215"/>
    </row>
    <row r="150">
      <c r="C150" s="215"/>
      <c r="D150" s="215"/>
      <c r="E150" s="215"/>
      <c r="G150" s="215"/>
    </row>
    <row r="151">
      <c r="C151" s="215"/>
      <c r="D151" s="215"/>
      <c r="E151" s="215"/>
      <c r="G151" s="215"/>
    </row>
    <row r="152">
      <c r="C152" s="215"/>
      <c r="D152" s="215"/>
      <c r="E152" s="215"/>
      <c r="G152" s="215"/>
    </row>
    <row r="153">
      <c r="C153" s="215"/>
      <c r="D153" s="215"/>
      <c r="E153" s="215"/>
      <c r="G153" s="215"/>
    </row>
    <row r="154">
      <c r="C154" s="215"/>
      <c r="D154" s="215"/>
      <c r="E154" s="215"/>
      <c r="G154" s="215"/>
    </row>
    <row r="155">
      <c r="C155" s="215"/>
      <c r="D155" s="215"/>
      <c r="E155" s="215"/>
      <c r="G155" s="215"/>
    </row>
    <row r="156">
      <c r="C156" s="215"/>
      <c r="D156" s="215"/>
      <c r="E156" s="215"/>
      <c r="G156" s="215"/>
    </row>
    <row r="157">
      <c r="C157" s="215"/>
      <c r="D157" s="215"/>
      <c r="E157" s="215"/>
      <c r="G157" s="215"/>
    </row>
    <row r="158">
      <c r="C158" s="215"/>
      <c r="D158" s="215"/>
      <c r="E158" s="215"/>
      <c r="G158" s="215"/>
    </row>
    <row r="159">
      <c r="C159" s="215"/>
      <c r="D159" s="215"/>
      <c r="E159" s="215"/>
      <c r="G159" s="215"/>
    </row>
    <row r="160">
      <c r="C160" s="215"/>
      <c r="D160" s="215"/>
      <c r="E160" s="215"/>
      <c r="G160" s="215"/>
    </row>
    <row r="161">
      <c r="C161" s="215"/>
      <c r="D161" s="215"/>
      <c r="E161" s="215"/>
      <c r="G161" s="215"/>
    </row>
    <row r="162">
      <c r="C162" s="215"/>
      <c r="D162" s="215"/>
      <c r="E162" s="215"/>
      <c r="G162" s="215"/>
    </row>
    <row r="163">
      <c r="C163" s="215"/>
      <c r="D163" s="215"/>
      <c r="E163" s="215"/>
      <c r="G163" s="215"/>
    </row>
    <row r="164">
      <c r="C164" s="215"/>
      <c r="D164" s="215"/>
      <c r="E164" s="215"/>
      <c r="G164" s="215"/>
    </row>
    <row r="165">
      <c r="C165" s="215"/>
      <c r="D165" s="215"/>
      <c r="E165" s="215"/>
      <c r="G165" s="215"/>
    </row>
    <row r="166">
      <c r="C166" s="215"/>
      <c r="D166" s="215"/>
      <c r="E166" s="215"/>
      <c r="G166" s="215"/>
    </row>
    <row r="167">
      <c r="C167" s="215"/>
      <c r="D167" s="215"/>
      <c r="E167" s="215"/>
      <c r="G167" s="215"/>
    </row>
    <row r="168">
      <c r="C168" s="215"/>
      <c r="D168" s="215"/>
      <c r="E168" s="215"/>
      <c r="G168" s="215"/>
    </row>
    <row r="169">
      <c r="C169" s="215"/>
      <c r="D169" s="215"/>
      <c r="E169" s="215"/>
      <c r="G169" s="215"/>
    </row>
    <row r="170">
      <c r="C170" s="215"/>
      <c r="D170" s="215"/>
      <c r="E170" s="215"/>
      <c r="G170" s="215"/>
    </row>
    <row r="171">
      <c r="C171" s="215"/>
      <c r="D171" s="215"/>
      <c r="E171" s="215"/>
      <c r="G171" s="215"/>
    </row>
    <row r="172">
      <c r="C172" s="215"/>
      <c r="D172" s="215"/>
      <c r="E172" s="215"/>
      <c r="G172" s="215"/>
    </row>
    <row r="173">
      <c r="C173" s="215"/>
      <c r="D173" s="215"/>
      <c r="E173" s="215"/>
      <c r="G173" s="215"/>
    </row>
    <row r="174">
      <c r="C174" s="215"/>
      <c r="D174" s="215"/>
      <c r="E174" s="215"/>
      <c r="G174" s="215"/>
    </row>
    <row r="175">
      <c r="C175" s="215"/>
      <c r="D175" s="215"/>
      <c r="E175" s="215"/>
      <c r="G175" s="215"/>
    </row>
    <row r="176">
      <c r="C176" s="215"/>
      <c r="D176" s="215"/>
      <c r="E176" s="215"/>
      <c r="G176" s="215"/>
    </row>
    <row r="177">
      <c r="C177" s="215"/>
      <c r="D177" s="215"/>
      <c r="E177" s="215"/>
      <c r="G177" s="215"/>
    </row>
    <row r="178">
      <c r="C178" s="215"/>
      <c r="D178" s="215"/>
      <c r="E178" s="215"/>
      <c r="G178" s="215"/>
    </row>
    <row r="179">
      <c r="C179" s="215"/>
      <c r="D179" s="215"/>
      <c r="E179" s="215"/>
      <c r="G179" s="215"/>
    </row>
    <row r="180">
      <c r="C180" s="215"/>
      <c r="D180" s="215"/>
      <c r="E180" s="215"/>
      <c r="G180" s="215"/>
    </row>
    <row r="181">
      <c r="C181" s="215"/>
      <c r="D181" s="215"/>
      <c r="E181" s="215"/>
      <c r="G181" s="215"/>
    </row>
    <row r="182">
      <c r="C182" s="215"/>
      <c r="D182" s="215"/>
      <c r="E182" s="215"/>
      <c r="G182" s="215"/>
    </row>
    <row r="183">
      <c r="C183" s="215"/>
      <c r="D183" s="215"/>
      <c r="E183" s="215"/>
      <c r="G183" s="215"/>
    </row>
    <row r="184">
      <c r="C184" s="215"/>
      <c r="D184" s="215"/>
      <c r="E184" s="215"/>
      <c r="G184" s="215"/>
    </row>
    <row r="185">
      <c r="C185" s="215"/>
      <c r="D185" s="215"/>
      <c r="E185" s="215"/>
      <c r="G185" s="215"/>
    </row>
    <row r="186">
      <c r="C186" s="215"/>
      <c r="D186" s="215"/>
      <c r="E186" s="215"/>
      <c r="G186" s="215"/>
    </row>
    <row r="187">
      <c r="C187" s="215"/>
      <c r="D187" s="215"/>
      <c r="E187" s="215"/>
      <c r="G187" s="215"/>
    </row>
    <row r="188">
      <c r="C188" s="215"/>
      <c r="D188" s="215"/>
      <c r="E188" s="215"/>
      <c r="G188" s="215"/>
    </row>
    <row r="189">
      <c r="C189" s="215"/>
      <c r="D189" s="215"/>
      <c r="E189" s="215"/>
      <c r="G189" s="215"/>
    </row>
    <row r="190">
      <c r="C190" s="215"/>
      <c r="D190" s="215"/>
      <c r="E190" s="215"/>
      <c r="G190" s="215"/>
    </row>
    <row r="191">
      <c r="C191" s="215"/>
      <c r="D191" s="215"/>
      <c r="E191" s="215"/>
      <c r="G191" s="215"/>
    </row>
    <row r="192">
      <c r="C192" s="215"/>
      <c r="D192" s="215"/>
      <c r="E192" s="215"/>
      <c r="G192" s="215"/>
    </row>
    <row r="193">
      <c r="C193" s="215"/>
      <c r="D193" s="215"/>
      <c r="E193" s="215"/>
      <c r="G193" s="215"/>
    </row>
    <row r="194">
      <c r="C194" s="215"/>
      <c r="D194" s="215"/>
      <c r="E194" s="215"/>
      <c r="G194" s="215"/>
    </row>
    <row r="195">
      <c r="C195" s="215"/>
      <c r="D195" s="215"/>
      <c r="E195" s="215"/>
      <c r="G195" s="215"/>
    </row>
    <row r="196">
      <c r="C196" s="215"/>
      <c r="D196" s="215"/>
      <c r="E196" s="215"/>
      <c r="G196" s="215"/>
    </row>
    <row r="197">
      <c r="C197" s="215"/>
      <c r="D197" s="215"/>
      <c r="E197" s="215"/>
      <c r="G197" s="215"/>
    </row>
    <row r="198">
      <c r="C198" s="215"/>
      <c r="D198" s="215"/>
      <c r="E198" s="215"/>
      <c r="G198" s="215"/>
    </row>
    <row r="199">
      <c r="C199" s="215"/>
      <c r="D199" s="215"/>
      <c r="E199" s="215"/>
      <c r="G199" s="215"/>
    </row>
    <row r="200">
      <c r="C200" s="215"/>
      <c r="D200" s="215"/>
      <c r="E200" s="215"/>
      <c r="G200" s="215"/>
    </row>
    <row r="201">
      <c r="C201" s="215"/>
      <c r="D201" s="215"/>
      <c r="E201" s="215"/>
      <c r="G201" s="215"/>
    </row>
    <row r="202">
      <c r="C202" s="215"/>
      <c r="D202" s="215"/>
      <c r="E202" s="215"/>
      <c r="G202" s="215"/>
    </row>
    <row r="203">
      <c r="C203" s="215"/>
      <c r="D203" s="215"/>
      <c r="E203" s="215"/>
      <c r="G203" s="215"/>
    </row>
    <row r="204">
      <c r="C204" s="215"/>
      <c r="D204" s="215"/>
      <c r="E204" s="215"/>
      <c r="G204" s="215"/>
    </row>
    <row r="205">
      <c r="C205" s="215"/>
      <c r="D205" s="215"/>
      <c r="E205" s="215"/>
      <c r="G205" s="215"/>
    </row>
    <row r="206">
      <c r="C206" s="215"/>
      <c r="D206" s="215"/>
      <c r="E206" s="215"/>
      <c r="G206" s="215"/>
    </row>
    <row r="207">
      <c r="C207" s="215"/>
      <c r="D207" s="215"/>
      <c r="E207" s="215"/>
      <c r="G207" s="215"/>
    </row>
    <row r="208">
      <c r="C208" s="215"/>
      <c r="D208" s="215"/>
      <c r="E208" s="215"/>
      <c r="G208" s="215"/>
    </row>
    <row r="209">
      <c r="C209" s="215"/>
      <c r="D209" s="215"/>
      <c r="E209" s="215"/>
      <c r="G209" s="215"/>
    </row>
    <row r="210">
      <c r="C210" s="215"/>
      <c r="D210" s="215"/>
      <c r="E210" s="215"/>
      <c r="G210" s="215"/>
    </row>
    <row r="211">
      <c r="C211" s="215"/>
      <c r="D211" s="215"/>
      <c r="E211" s="215"/>
      <c r="G211" s="215"/>
    </row>
    <row r="212">
      <c r="C212" s="215"/>
      <c r="D212" s="215"/>
      <c r="E212" s="215"/>
      <c r="G212" s="215"/>
    </row>
    <row r="213">
      <c r="C213" s="215"/>
      <c r="D213" s="215"/>
      <c r="E213" s="215"/>
      <c r="G213" s="215"/>
    </row>
    <row r="214">
      <c r="C214" s="215"/>
      <c r="D214" s="215"/>
      <c r="E214" s="215"/>
      <c r="G214" s="215"/>
    </row>
    <row r="215">
      <c r="C215" s="215"/>
      <c r="D215" s="215"/>
      <c r="E215" s="215"/>
      <c r="G215" s="215"/>
    </row>
    <row r="216">
      <c r="C216" s="215"/>
      <c r="D216" s="215"/>
      <c r="E216" s="215"/>
      <c r="G216" s="215"/>
    </row>
    <row r="217">
      <c r="C217" s="215"/>
      <c r="D217" s="215"/>
      <c r="E217" s="215"/>
      <c r="G217" s="215"/>
    </row>
    <row r="218">
      <c r="C218" s="215"/>
      <c r="D218" s="215"/>
      <c r="E218" s="215"/>
      <c r="G218" s="215"/>
    </row>
    <row r="219">
      <c r="C219" s="215"/>
      <c r="D219" s="215"/>
      <c r="E219" s="215"/>
      <c r="G219" s="215"/>
    </row>
    <row r="220">
      <c r="C220" s="215"/>
      <c r="D220" s="215"/>
      <c r="E220" s="215"/>
      <c r="G220" s="215"/>
    </row>
    <row r="221">
      <c r="C221" s="215"/>
      <c r="D221" s="215"/>
      <c r="E221" s="215"/>
      <c r="G221" s="215"/>
    </row>
    <row r="222">
      <c r="C222" s="215"/>
      <c r="D222" s="215"/>
      <c r="E222" s="215"/>
      <c r="G222" s="215"/>
    </row>
    <row r="223">
      <c r="C223" s="215"/>
      <c r="D223" s="215"/>
      <c r="E223" s="215"/>
      <c r="G223" s="215"/>
    </row>
    <row r="224">
      <c r="C224" s="215"/>
      <c r="D224" s="215"/>
      <c r="E224" s="215"/>
      <c r="G224" s="215"/>
    </row>
    <row r="225">
      <c r="C225" s="215"/>
      <c r="D225" s="215"/>
      <c r="E225" s="215"/>
      <c r="G225" s="215"/>
    </row>
    <row r="226">
      <c r="C226" s="215"/>
      <c r="D226" s="215"/>
      <c r="E226" s="215"/>
      <c r="G226" s="215"/>
    </row>
    <row r="227">
      <c r="C227" s="215"/>
      <c r="D227" s="215"/>
      <c r="E227" s="215"/>
      <c r="G227" s="215"/>
    </row>
    <row r="228">
      <c r="C228" s="215"/>
      <c r="D228" s="215"/>
      <c r="E228" s="215"/>
      <c r="G228" s="215"/>
    </row>
    <row r="229">
      <c r="C229" s="215"/>
      <c r="D229" s="215"/>
      <c r="E229" s="215"/>
      <c r="G229" s="215"/>
    </row>
    <row r="230">
      <c r="C230" s="215"/>
      <c r="D230" s="215"/>
      <c r="E230" s="215"/>
      <c r="G230" s="215"/>
    </row>
    <row r="231">
      <c r="C231" s="215"/>
      <c r="D231" s="215"/>
      <c r="E231" s="215"/>
      <c r="G231" s="215"/>
    </row>
    <row r="232">
      <c r="C232" s="215"/>
      <c r="D232" s="215"/>
      <c r="E232" s="215"/>
      <c r="G232" s="215"/>
    </row>
    <row r="233">
      <c r="C233" s="215"/>
      <c r="D233" s="215"/>
      <c r="E233" s="215"/>
      <c r="G233" s="215"/>
    </row>
    <row r="234">
      <c r="C234" s="215"/>
      <c r="D234" s="215"/>
      <c r="E234" s="215"/>
      <c r="G234" s="215"/>
    </row>
    <row r="235">
      <c r="C235" s="215"/>
      <c r="D235" s="215"/>
      <c r="E235" s="215"/>
      <c r="G235" s="215"/>
    </row>
    <row r="236">
      <c r="C236" s="215"/>
      <c r="D236" s="215"/>
      <c r="E236" s="215"/>
      <c r="G236" s="215"/>
    </row>
    <row r="237">
      <c r="C237" s="215"/>
      <c r="D237" s="215"/>
      <c r="E237" s="215"/>
      <c r="G237" s="215"/>
    </row>
    <row r="238">
      <c r="C238" s="215"/>
      <c r="D238" s="215"/>
      <c r="E238" s="215"/>
      <c r="G238" s="215"/>
    </row>
    <row r="239">
      <c r="C239" s="215"/>
      <c r="D239" s="215"/>
      <c r="E239" s="215"/>
      <c r="G239" s="215"/>
    </row>
    <row r="240">
      <c r="C240" s="215"/>
      <c r="D240" s="215"/>
      <c r="E240" s="215"/>
      <c r="G240" s="215"/>
    </row>
    <row r="241">
      <c r="C241" s="215"/>
      <c r="D241" s="215"/>
      <c r="E241" s="215"/>
      <c r="G241" s="215"/>
    </row>
    <row r="242">
      <c r="C242" s="215"/>
      <c r="D242" s="215"/>
      <c r="E242" s="215"/>
      <c r="G242" s="215"/>
    </row>
    <row r="243">
      <c r="C243" s="215"/>
      <c r="D243" s="215"/>
      <c r="E243" s="215"/>
      <c r="G243" s="215"/>
    </row>
    <row r="244">
      <c r="C244" s="215"/>
      <c r="D244" s="215"/>
      <c r="E244" s="215"/>
      <c r="G244" s="215"/>
    </row>
    <row r="245">
      <c r="C245" s="215"/>
      <c r="D245" s="215"/>
      <c r="E245" s="215"/>
      <c r="G245" s="215"/>
    </row>
    <row r="246">
      <c r="C246" s="215"/>
      <c r="D246" s="215"/>
      <c r="E246" s="215"/>
      <c r="G246" s="215"/>
    </row>
    <row r="247">
      <c r="C247" s="215"/>
      <c r="D247" s="215"/>
      <c r="E247" s="215"/>
      <c r="G247" s="215"/>
    </row>
    <row r="248">
      <c r="C248" s="215"/>
      <c r="D248" s="215"/>
      <c r="E248" s="215"/>
      <c r="G248" s="215"/>
    </row>
    <row r="249">
      <c r="C249" s="215"/>
      <c r="D249" s="215"/>
      <c r="E249" s="215"/>
      <c r="G249" s="215"/>
    </row>
    <row r="250">
      <c r="C250" s="215"/>
      <c r="D250" s="215"/>
      <c r="E250" s="215"/>
      <c r="G250" s="215"/>
    </row>
    <row r="251">
      <c r="C251" s="215"/>
      <c r="D251" s="215"/>
      <c r="E251" s="215"/>
      <c r="G251" s="215"/>
    </row>
    <row r="252">
      <c r="C252" s="215"/>
      <c r="D252" s="215"/>
      <c r="E252" s="215"/>
      <c r="G252" s="215"/>
    </row>
    <row r="253">
      <c r="C253" s="215"/>
      <c r="D253" s="215"/>
      <c r="E253" s="215"/>
      <c r="G253" s="215"/>
    </row>
    <row r="254">
      <c r="C254" s="215"/>
      <c r="D254" s="215"/>
      <c r="E254" s="215"/>
      <c r="G254" s="215"/>
    </row>
    <row r="255">
      <c r="C255" s="215"/>
      <c r="D255" s="215"/>
      <c r="E255" s="215"/>
      <c r="G255" s="215"/>
    </row>
    <row r="256">
      <c r="C256" s="215"/>
      <c r="D256" s="215"/>
      <c r="E256" s="215"/>
      <c r="G256" s="215"/>
    </row>
    <row r="257">
      <c r="C257" s="215"/>
      <c r="D257" s="215"/>
      <c r="E257" s="215"/>
      <c r="G257" s="215"/>
    </row>
    <row r="258">
      <c r="C258" s="215"/>
      <c r="D258" s="215"/>
      <c r="E258" s="215"/>
      <c r="G258" s="215"/>
    </row>
    <row r="259">
      <c r="C259" s="215"/>
      <c r="D259" s="215"/>
      <c r="E259" s="215"/>
      <c r="G259" s="215"/>
    </row>
    <row r="260">
      <c r="C260" s="215"/>
      <c r="D260" s="215"/>
      <c r="E260" s="215"/>
      <c r="G260" s="215"/>
    </row>
    <row r="261">
      <c r="C261" s="215"/>
      <c r="D261" s="215"/>
      <c r="E261" s="215"/>
      <c r="G261" s="215"/>
    </row>
    <row r="262">
      <c r="C262" s="215"/>
      <c r="D262" s="215"/>
      <c r="E262" s="215"/>
      <c r="G262" s="215"/>
    </row>
    <row r="263">
      <c r="C263" s="215"/>
      <c r="D263" s="215"/>
      <c r="E263" s="215"/>
      <c r="G263" s="215"/>
    </row>
    <row r="264">
      <c r="C264" s="215"/>
      <c r="D264" s="215"/>
      <c r="E264" s="215"/>
      <c r="G264" s="215"/>
    </row>
    <row r="265">
      <c r="C265" s="215"/>
      <c r="D265" s="215"/>
      <c r="E265" s="215"/>
      <c r="G265" s="215"/>
    </row>
    <row r="266">
      <c r="C266" s="215"/>
      <c r="D266" s="215"/>
      <c r="E266" s="215"/>
      <c r="G266" s="215"/>
    </row>
    <row r="267">
      <c r="C267" s="215"/>
      <c r="D267" s="215"/>
      <c r="E267" s="215"/>
      <c r="G267" s="215"/>
    </row>
    <row r="268">
      <c r="C268" s="215"/>
      <c r="D268" s="215"/>
      <c r="E268" s="215"/>
      <c r="G268" s="215"/>
    </row>
    <row r="269">
      <c r="C269" s="215"/>
      <c r="D269" s="215"/>
      <c r="E269" s="215"/>
      <c r="G269" s="215"/>
    </row>
    <row r="270">
      <c r="C270" s="215"/>
      <c r="D270" s="215"/>
      <c r="E270" s="215"/>
      <c r="G270" s="215"/>
    </row>
    <row r="271">
      <c r="C271" s="215"/>
      <c r="D271" s="215"/>
      <c r="E271" s="215"/>
      <c r="G271" s="215"/>
    </row>
    <row r="272">
      <c r="C272" s="215"/>
      <c r="D272" s="215"/>
      <c r="E272" s="215"/>
      <c r="G272" s="215"/>
    </row>
    <row r="273">
      <c r="C273" s="215"/>
      <c r="D273" s="215"/>
      <c r="E273" s="215"/>
      <c r="G273" s="215"/>
    </row>
    <row r="274">
      <c r="C274" s="215"/>
      <c r="D274" s="215"/>
      <c r="E274" s="215"/>
      <c r="G274" s="215"/>
    </row>
    <row r="275">
      <c r="C275" s="215"/>
      <c r="D275" s="215"/>
      <c r="E275" s="215"/>
      <c r="G275" s="215"/>
    </row>
    <row r="276">
      <c r="C276" s="215"/>
      <c r="D276" s="215"/>
      <c r="E276" s="215"/>
      <c r="G276" s="215"/>
    </row>
    <row r="277">
      <c r="C277" s="215"/>
      <c r="D277" s="215"/>
      <c r="E277" s="215"/>
      <c r="G277" s="215"/>
    </row>
    <row r="278">
      <c r="C278" s="215"/>
      <c r="D278" s="215"/>
      <c r="E278" s="215"/>
      <c r="G278" s="215"/>
    </row>
    <row r="279">
      <c r="C279" s="215"/>
      <c r="D279" s="215"/>
      <c r="E279" s="215"/>
      <c r="G279" s="215"/>
    </row>
    <row r="280">
      <c r="C280" s="215"/>
      <c r="D280" s="215"/>
      <c r="E280" s="215"/>
      <c r="G280" s="215"/>
    </row>
    <row r="281">
      <c r="C281" s="215"/>
      <c r="D281" s="215"/>
      <c r="E281" s="215"/>
      <c r="G281" s="215"/>
    </row>
    <row r="282">
      <c r="C282" s="215"/>
      <c r="D282" s="215"/>
      <c r="E282" s="215"/>
      <c r="G282" s="215"/>
    </row>
    <row r="283">
      <c r="C283" s="215"/>
      <c r="D283" s="215"/>
      <c r="E283" s="215"/>
      <c r="G283" s="215"/>
    </row>
    <row r="284">
      <c r="C284" s="215"/>
      <c r="D284" s="215"/>
      <c r="E284" s="215"/>
      <c r="G284" s="215"/>
    </row>
    <row r="285">
      <c r="C285" s="215"/>
      <c r="D285" s="215"/>
      <c r="E285" s="215"/>
      <c r="G285" s="215"/>
    </row>
    <row r="286">
      <c r="C286" s="215"/>
      <c r="D286" s="215"/>
      <c r="E286" s="215"/>
      <c r="G286" s="215"/>
    </row>
    <row r="287">
      <c r="C287" s="215"/>
      <c r="D287" s="215"/>
      <c r="E287" s="215"/>
      <c r="G287" s="215"/>
    </row>
    <row r="288">
      <c r="C288" s="215"/>
      <c r="D288" s="215"/>
      <c r="E288" s="215"/>
      <c r="G288" s="215"/>
    </row>
    <row r="289">
      <c r="C289" s="215"/>
      <c r="D289" s="215"/>
      <c r="E289" s="215"/>
      <c r="G289" s="215"/>
    </row>
    <row r="290">
      <c r="C290" s="215"/>
      <c r="D290" s="215"/>
      <c r="E290" s="215"/>
      <c r="G290" s="215"/>
    </row>
    <row r="291">
      <c r="C291" s="215"/>
      <c r="D291" s="215"/>
      <c r="E291" s="215"/>
      <c r="G291" s="215"/>
    </row>
    <row r="292">
      <c r="C292" s="215"/>
      <c r="D292" s="215"/>
      <c r="E292" s="215"/>
      <c r="G292" s="215"/>
    </row>
    <row r="293">
      <c r="C293" s="215"/>
      <c r="D293" s="215"/>
      <c r="E293" s="215"/>
      <c r="G293" s="215"/>
    </row>
    <row r="294">
      <c r="C294" s="215"/>
      <c r="D294" s="215"/>
      <c r="E294" s="215"/>
      <c r="G294" s="215"/>
    </row>
    <row r="295">
      <c r="C295" s="215"/>
      <c r="D295" s="215"/>
      <c r="E295" s="215"/>
      <c r="G295" s="215"/>
    </row>
    <row r="296">
      <c r="C296" s="215"/>
      <c r="D296" s="215"/>
      <c r="E296" s="215"/>
      <c r="G296" s="215"/>
    </row>
    <row r="297">
      <c r="C297" s="215"/>
      <c r="D297" s="215"/>
      <c r="E297" s="215"/>
      <c r="G297" s="215"/>
    </row>
    <row r="298">
      <c r="C298" s="215"/>
      <c r="D298" s="215"/>
      <c r="E298" s="215"/>
      <c r="G298" s="215"/>
    </row>
    <row r="299">
      <c r="C299" s="215"/>
      <c r="D299" s="215"/>
      <c r="E299" s="215"/>
      <c r="G299" s="215"/>
    </row>
    <row r="300">
      <c r="C300" s="215"/>
      <c r="D300" s="215"/>
      <c r="E300" s="215"/>
      <c r="G300" s="215"/>
    </row>
    <row r="301">
      <c r="C301" s="215"/>
      <c r="D301" s="215"/>
      <c r="E301" s="215"/>
      <c r="G301" s="215"/>
    </row>
    <row r="302">
      <c r="C302" s="215"/>
      <c r="D302" s="215"/>
      <c r="E302" s="215"/>
      <c r="G302" s="215"/>
    </row>
    <row r="303">
      <c r="C303" s="215"/>
      <c r="D303" s="215"/>
      <c r="E303" s="215"/>
      <c r="G303" s="215"/>
    </row>
    <row r="304">
      <c r="C304" s="215"/>
      <c r="D304" s="215"/>
      <c r="E304" s="215"/>
      <c r="G304" s="215"/>
    </row>
    <row r="305">
      <c r="C305" s="215"/>
      <c r="D305" s="215"/>
      <c r="E305" s="215"/>
      <c r="G305" s="215"/>
    </row>
    <row r="306">
      <c r="C306" s="215"/>
      <c r="D306" s="215"/>
      <c r="E306" s="215"/>
      <c r="G306" s="215"/>
    </row>
    <row r="307">
      <c r="C307" s="215"/>
      <c r="D307" s="215"/>
      <c r="E307" s="215"/>
      <c r="G307" s="215"/>
    </row>
    <row r="308">
      <c r="C308" s="215"/>
      <c r="D308" s="215"/>
      <c r="E308" s="215"/>
      <c r="G308" s="215"/>
    </row>
    <row r="309">
      <c r="C309" s="215"/>
      <c r="D309" s="215"/>
      <c r="E309" s="215"/>
      <c r="G309" s="215"/>
    </row>
    <row r="310">
      <c r="C310" s="215"/>
      <c r="D310" s="215"/>
      <c r="E310" s="215"/>
      <c r="G310" s="215"/>
    </row>
    <row r="311">
      <c r="C311" s="215"/>
      <c r="D311" s="215"/>
      <c r="E311" s="215"/>
      <c r="G311" s="215"/>
    </row>
    <row r="312">
      <c r="C312" s="215"/>
      <c r="D312" s="215"/>
      <c r="E312" s="215"/>
      <c r="G312" s="215"/>
    </row>
    <row r="313">
      <c r="C313" s="215"/>
      <c r="D313" s="215"/>
      <c r="E313" s="215"/>
      <c r="G313" s="215"/>
    </row>
    <row r="314">
      <c r="C314" s="215"/>
      <c r="D314" s="215"/>
      <c r="E314" s="215"/>
      <c r="G314" s="215"/>
    </row>
    <row r="315">
      <c r="C315" s="215"/>
      <c r="D315" s="215"/>
      <c r="E315" s="215"/>
      <c r="G315" s="215"/>
    </row>
    <row r="316">
      <c r="C316" s="215"/>
      <c r="D316" s="215"/>
      <c r="E316" s="215"/>
      <c r="G316" s="215"/>
    </row>
    <row r="317">
      <c r="C317" s="215"/>
      <c r="D317" s="215"/>
      <c r="E317" s="215"/>
      <c r="G317" s="215"/>
    </row>
    <row r="318">
      <c r="C318" s="215"/>
      <c r="D318" s="215"/>
      <c r="E318" s="215"/>
      <c r="G318" s="215"/>
    </row>
    <row r="319">
      <c r="C319" s="215"/>
      <c r="D319" s="215"/>
      <c r="E319" s="215"/>
      <c r="G319" s="215"/>
    </row>
    <row r="320">
      <c r="C320" s="215"/>
      <c r="D320" s="215"/>
      <c r="E320" s="215"/>
      <c r="G320" s="215"/>
    </row>
    <row r="321">
      <c r="C321" s="215"/>
      <c r="D321" s="215"/>
      <c r="E321" s="215"/>
      <c r="G321" s="215"/>
    </row>
    <row r="322">
      <c r="C322" s="215"/>
      <c r="D322" s="215"/>
      <c r="E322" s="215"/>
      <c r="G322" s="215"/>
    </row>
    <row r="323">
      <c r="C323" s="215"/>
      <c r="D323" s="215"/>
      <c r="E323" s="215"/>
      <c r="G323" s="215"/>
    </row>
    <row r="324">
      <c r="C324" s="215"/>
      <c r="D324" s="215"/>
      <c r="E324" s="215"/>
      <c r="G324" s="215"/>
    </row>
    <row r="325">
      <c r="C325" s="215"/>
      <c r="D325" s="215"/>
      <c r="E325" s="215"/>
      <c r="G325" s="215"/>
    </row>
    <row r="326">
      <c r="C326" s="215"/>
      <c r="D326" s="215"/>
      <c r="E326" s="215"/>
      <c r="G326" s="215"/>
    </row>
    <row r="327">
      <c r="C327" s="215"/>
      <c r="D327" s="215"/>
      <c r="E327" s="215"/>
      <c r="G327" s="215"/>
    </row>
    <row r="328">
      <c r="C328" s="215"/>
      <c r="D328" s="215"/>
      <c r="E328" s="215"/>
      <c r="G328" s="215"/>
    </row>
    <row r="329">
      <c r="C329" s="215"/>
      <c r="D329" s="215"/>
      <c r="E329" s="215"/>
      <c r="G329" s="215"/>
    </row>
    <row r="330">
      <c r="C330" s="215"/>
      <c r="D330" s="215"/>
      <c r="E330" s="215"/>
      <c r="G330" s="215"/>
    </row>
    <row r="331">
      <c r="C331" s="215"/>
      <c r="D331" s="215"/>
      <c r="E331" s="215"/>
      <c r="G331" s="215"/>
    </row>
    <row r="332">
      <c r="C332" s="215"/>
      <c r="D332" s="215"/>
      <c r="E332" s="215"/>
      <c r="G332" s="215"/>
    </row>
    <row r="333">
      <c r="C333" s="215"/>
      <c r="D333" s="215"/>
      <c r="E333" s="215"/>
      <c r="G333" s="215"/>
    </row>
    <row r="334">
      <c r="C334" s="215"/>
      <c r="D334" s="215"/>
      <c r="E334" s="215"/>
      <c r="G334" s="215"/>
    </row>
    <row r="335">
      <c r="C335" s="215"/>
      <c r="D335" s="215"/>
      <c r="E335" s="215"/>
      <c r="G335" s="215"/>
    </row>
    <row r="336">
      <c r="C336" s="215"/>
      <c r="D336" s="215"/>
      <c r="E336" s="215"/>
      <c r="G336" s="215"/>
    </row>
    <row r="337">
      <c r="C337" s="215"/>
      <c r="D337" s="215"/>
      <c r="E337" s="215"/>
      <c r="G337" s="215"/>
    </row>
    <row r="338">
      <c r="C338" s="215"/>
      <c r="D338" s="215"/>
      <c r="E338" s="215"/>
      <c r="G338" s="215"/>
    </row>
    <row r="339">
      <c r="C339" s="215"/>
      <c r="D339" s="215"/>
      <c r="E339" s="215"/>
      <c r="G339" s="215"/>
    </row>
    <row r="340">
      <c r="C340" s="215"/>
      <c r="D340" s="215"/>
      <c r="E340" s="215"/>
      <c r="G340" s="215"/>
    </row>
    <row r="341">
      <c r="C341" s="215"/>
      <c r="D341" s="215"/>
      <c r="E341" s="215"/>
      <c r="G341" s="215"/>
    </row>
    <row r="342">
      <c r="C342" s="215"/>
      <c r="D342" s="215"/>
      <c r="E342" s="215"/>
      <c r="G342" s="215"/>
    </row>
    <row r="343">
      <c r="C343" s="215"/>
      <c r="D343" s="215"/>
      <c r="E343" s="215"/>
      <c r="G343" s="215"/>
    </row>
    <row r="344">
      <c r="C344" s="215"/>
      <c r="D344" s="215"/>
      <c r="E344" s="215"/>
      <c r="G344" s="215"/>
    </row>
    <row r="345">
      <c r="C345" s="215"/>
      <c r="D345" s="215"/>
      <c r="E345" s="215"/>
      <c r="G345" s="215"/>
    </row>
    <row r="346">
      <c r="C346" s="215"/>
      <c r="D346" s="215"/>
      <c r="E346" s="215"/>
      <c r="G346" s="215"/>
    </row>
    <row r="347">
      <c r="C347" s="215"/>
      <c r="D347" s="215"/>
      <c r="E347" s="215"/>
      <c r="G347" s="215"/>
    </row>
    <row r="348">
      <c r="C348" s="215"/>
      <c r="D348" s="215"/>
      <c r="E348" s="215"/>
      <c r="G348" s="215"/>
    </row>
    <row r="349">
      <c r="C349" s="215"/>
      <c r="D349" s="215"/>
      <c r="E349" s="215"/>
      <c r="G349" s="215"/>
    </row>
    <row r="350">
      <c r="C350" s="215"/>
      <c r="D350" s="215"/>
      <c r="E350" s="215"/>
      <c r="G350" s="215"/>
    </row>
    <row r="351">
      <c r="C351" s="215"/>
      <c r="D351" s="215"/>
      <c r="E351" s="215"/>
      <c r="G351" s="215"/>
    </row>
    <row r="352">
      <c r="C352" s="215"/>
      <c r="D352" s="215"/>
      <c r="E352" s="215"/>
      <c r="G352" s="215"/>
    </row>
    <row r="353">
      <c r="C353" s="215"/>
      <c r="D353" s="215"/>
      <c r="E353" s="215"/>
      <c r="G353" s="215"/>
    </row>
    <row r="354">
      <c r="C354" s="215"/>
      <c r="D354" s="215"/>
      <c r="E354" s="215"/>
      <c r="G354" s="215"/>
    </row>
    <row r="355">
      <c r="C355" s="215"/>
      <c r="D355" s="215"/>
      <c r="E355" s="215"/>
      <c r="G355" s="215"/>
    </row>
    <row r="356">
      <c r="C356" s="215"/>
      <c r="D356" s="215"/>
      <c r="E356" s="215"/>
      <c r="G356" s="215"/>
    </row>
    <row r="357">
      <c r="C357" s="215"/>
      <c r="D357" s="215"/>
      <c r="E357" s="215"/>
      <c r="G357" s="215"/>
    </row>
    <row r="358">
      <c r="C358" s="215"/>
      <c r="D358" s="215"/>
      <c r="E358" s="215"/>
      <c r="G358" s="215"/>
    </row>
    <row r="359">
      <c r="C359" s="215"/>
      <c r="D359" s="215"/>
      <c r="E359" s="215"/>
      <c r="G359" s="215"/>
    </row>
    <row r="360">
      <c r="C360" s="215"/>
      <c r="D360" s="215"/>
      <c r="E360" s="215"/>
      <c r="G360" s="215"/>
    </row>
    <row r="361">
      <c r="C361" s="215"/>
      <c r="D361" s="215"/>
      <c r="E361" s="215"/>
      <c r="G361" s="215"/>
    </row>
    <row r="362">
      <c r="C362" s="215"/>
      <c r="D362" s="215"/>
      <c r="E362" s="215"/>
      <c r="G362" s="215"/>
    </row>
    <row r="363">
      <c r="C363" s="215"/>
      <c r="D363" s="215"/>
      <c r="E363" s="215"/>
      <c r="G363" s="215"/>
    </row>
    <row r="364">
      <c r="C364" s="215"/>
      <c r="D364" s="215"/>
      <c r="E364" s="215"/>
      <c r="G364" s="215"/>
    </row>
    <row r="365">
      <c r="C365" s="215"/>
      <c r="D365" s="215"/>
      <c r="E365" s="215"/>
      <c r="G365" s="215"/>
    </row>
    <row r="366">
      <c r="C366" s="215"/>
      <c r="D366" s="215"/>
      <c r="E366" s="215"/>
      <c r="G366" s="215"/>
    </row>
    <row r="367">
      <c r="C367" s="215"/>
      <c r="D367" s="215"/>
      <c r="E367" s="215"/>
      <c r="G367" s="215"/>
    </row>
    <row r="368">
      <c r="C368" s="215"/>
      <c r="D368" s="215"/>
      <c r="E368" s="215"/>
      <c r="G368" s="215"/>
    </row>
    <row r="369">
      <c r="C369" s="215"/>
      <c r="D369" s="215"/>
      <c r="E369" s="215"/>
      <c r="G369" s="215"/>
    </row>
    <row r="370">
      <c r="C370" s="215"/>
      <c r="D370" s="215"/>
      <c r="E370" s="215"/>
      <c r="G370" s="215"/>
    </row>
    <row r="371">
      <c r="C371" s="215"/>
      <c r="D371" s="215"/>
      <c r="E371" s="215"/>
      <c r="G371" s="215"/>
    </row>
    <row r="372">
      <c r="C372" s="215"/>
      <c r="D372" s="215"/>
      <c r="E372" s="215"/>
      <c r="G372" s="215"/>
    </row>
    <row r="373">
      <c r="C373" s="215"/>
      <c r="D373" s="215"/>
      <c r="E373" s="215"/>
      <c r="G373" s="215"/>
    </row>
    <row r="374">
      <c r="C374" s="215"/>
      <c r="D374" s="215"/>
      <c r="E374" s="215"/>
      <c r="G374" s="215"/>
    </row>
    <row r="375">
      <c r="C375" s="215"/>
      <c r="D375" s="215"/>
      <c r="E375" s="215"/>
      <c r="G375" s="215"/>
    </row>
    <row r="376">
      <c r="C376" s="215"/>
      <c r="D376" s="215"/>
      <c r="E376" s="215"/>
      <c r="G376" s="215"/>
    </row>
    <row r="377">
      <c r="C377" s="215"/>
      <c r="D377" s="215"/>
      <c r="E377" s="215"/>
      <c r="G377" s="215"/>
    </row>
    <row r="378">
      <c r="C378" s="215"/>
      <c r="D378" s="215"/>
      <c r="E378" s="215"/>
      <c r="G378" s="215"/>
    </row>
    <row r="379">
      <c r="C379" s="215"/>
      <c r="D379" s="215"/>
      <c r="E379" s="215"/>
      <c r="G379" s="215"/>
    </row>
    <row r="380">
      <c r="C380" s="215"/>
      <c r="D380" s="215"/>
      <c r="E380" s="215"/>
      <c r="G380" s="215"/>
    </row>
    <row r="381">
      <c r="C381" s="215"/>
      <c r="D381" s="215"/>
      <c r="E381" s="215"/>
      <c r="G381" s="215"/>
    </row>
    <row r="382">
      <c r="C382" s="215"/>
      <c r="D382" s="215"/>
      <c r="E382" s="215"/>
      <c r="G382" s="215"/>
    </row>
    <row r="383">
      <c r="C383" s="215"/>
      <c r="D383" s="215"/>
      <c r="E383" s="215"/>
      <c r="G383" s="215"/>
    </row>
    <row r="384">
      <c r="C384" s="215"/>
      <c r="D384" s="215"/>
      <c r="E384" s="215"/>
      <c r="G384" s="215"/>
    </row>
    <row r="385">
      <c r="C385" s="215"/>
      <c r="D385" s="215"/>
      <c r="E385" s="215"/>
      <c r="G385" s="215"/>
    </row>
    <row r="386">
      <c r="C386" s="215"/>
      <c r="D386" s="215"/>
      <c r="E386" s="215"/>
      <c r="G386" s="215"/>
    </row>
    <row r="387">
      <c r="C387" s="215"/>
      <c r="D387" s="215"/>
      <c r="E387" s="215"/>
      <c r="G387" s="215"/>
    </row>
    <row r="388">
      <c r="C388" s="215"/>
      <c r="D388" s="215"/>
      <c r="E388" s="215"/>
      <c r="G388" s="215"/>
    </row>
    <row r="389">
      <c r="C389" s="215"/>
      <c r="D389" s="215"/>
      <c r="E389" s="215"/>
      <c r="G389" s="215"/>
    </row>
    <row r="390">
      <c r="C390" s="215"/>
      <c r="D390" s="215"/>
      <c r="E390" s="215"/>
      <c r="G390" s="215"/>
    </row>
    <row r="391">
      <c r="C391" s="215"/>
      <c r="D391" s="215"/>
      <c r="E391" s="215"/>
      <c r="G391" s="215"/>
    </row>
    <row r="392">
      <c r="C392" s="215"/>
      <c r="D392" s="215"/>
      <c r="E392" s="215"/>
      <c r="G392" s="215"/>
    </row>
    <row r="393">
      <c r="C393" s="215"/>
      <c r="D393" s="215"/>
      <c r="E393" s="215"/>
      <c r="G393" s="215"/>
    </row>
    <row r="394">
      <c r="C394" s="215"/>
      <c r="D394" s="215"/>
      <c r="E394" s="215"/>
      <c r="G394" s="215"/>
    </row>
    <row r="395">
      <c r="C395" s="215"/>
      <c r="D395" s="215"/>
      <c r="E395" s="215"/>
      <c r="G395" s="215"/>
    </row>
    <row r="396">
      <c r="C396" s="215"/>
      <c r="D396" s="215"/>
      <c r="E396" s="215"/>
      <c r="G396" s="215"/>
    </row>
    <row r="397">
      <c r="C397" s="215"/>
      <c r="D397" s="215"/>
      <c r="E397" s="215"/>
      <c r="G397" s="215"/>
    </row>
    <row r="398">
      <c r="C398" s="215"/>
      <c r="D398" s="215"/>
      <c r="E398" s="215"/>
      <c r="G398" s="215"/>
    </row>
    <row r="399">
      <c r="C399" s="215"/>
      <c r="D399" s="215"/>
      <c r="E399" s="215"/>
      <c r="G399" s="215"/>
    </row>
    <row r="400">
      <c r="C400" s="215"/>
      <c r="D400" s="215"/>
      <c r="E400" s="215"/>
      <c r="G400" s="215"/>
    </row>
    <row r="401">
      <c r="C401" s="215"/>
      <c r="D401" s="215"/>
      <c r="E401" s="215"/>
      <c r="G401" s="215"/>
    </row>
    <row r="402">
      <c r="C402" s="215"/>
      <c r="D402" s="215"/>
      <c r="E402" s="215"/>
      <c r="G402" s="215"/>
    </row>
    <row r="403">
      <c r="C403" s="215"/>
      <c r="D403" s="215"/>
      <c r="E403" s="215"/>
      <c r="G403" s="215"/>
    </row>
    <row r="404">
      <c r="C404" s="215"/>
      <c r="D404" s="215"/>
      <c r="E404" s="215"/>
      <c r="G404" s="215"/>
    </row>
    <row r="405">
      <c r="C405" s="215"/>
      <c r="D405" s="215"/>
      <c r="E405" s="215"/>
      <c r="G405" s="215"/>
    </row>
    <row r="406">
      <c r="C406" s="215"/>
      <c r="D406" s="215"/>
      <c r="E406" s="215"/>
      <c r="G406" s="215"/>
    </row>
    <row r="407">
      <c r="C407" s="215"/>
      <c r="D407" s="215"/>
      <c r="E407" s="215"/>
      <c r="G407" s="215"/>
    </row>
    <row r="408">
      <c r="C408" s="215"/>
      <c r="D408" s="215"/>
      <c r="E408" s="215"/>
      <c r="G408" s="215"/>
    </row>
    <row r="409">
      <c r="C409" s="215"/>
      <c r="D409" s="215"/>
      <c r="E409" s="215"/>
      <c r="G409" s="215"/>
    </row>
    <row r="410">
      <c r="C410" s="215"/>
      <c r="D410" s="215"/>
      <c r="E410" s="215"/>
      <c r="G410" s="215"/>
    </row>
    <row r="411">
      <c r="C411" s="215"/>
      <c r="D411" s="215"/>
      <c r="E411" s="215"/>
      <c r="G411" s="215"/>
    </row>
    <row r="412">
      <c r="C412" s="215"/>
      <c r="D412" s="215"/>
      <c r="E412" s="215"/>
      <c r="G412" s="215"/>
    </row>
    <row r="413">
      <c r="C413" s="215"/>
      <c r="D413" s="215"/>
      <c r="E413" s="215"/>
      <c r="G413" s="215"/>
    </row>
    <row r="414">
      <c r="C414" s="215"/>
      <c r="D414" s="215"/>
      <c r="E414" s="215"/>
      <c r="G414" s="215"/>
    </row>
    <row r="415">
      <c r="C415" s="215"/>
      <c r="D415" s="215"/>
      <c r="E415" s="215"/>
      <c r="G415" s="215"/>
    </row>
    <row r="416">
      <c r="C416" s="215"/>
      <c r="D416" s="215"/>
      <c r="E416" s="215"/>
      <c r="G416" s="215"/>
    </row>
    <row r="417">
      <c r="C417" s="215"/>
      <c r="D417" s="215"/>
      <c r="E417" s="215"/>
      <c r="G417" s="215"/>
    </row>
    <row r="418">
      <c r="C418" s="215"/>
      <c r="D418" s="215"/>
      <c r="E418" s="215"/>
      <c r="G418" s="215"/>
    </row>
    <row r="419">
      <c r="C419" s="215"/>
      <c r="D419" s="215"/>
      <c r="E419" s="215"/>
      <c r="G419" s="215"/>
    </row>
    <row r="420">
      <c r="C420" s="215"/>
      <c r="D420" s="215"/>
      <c r="E420" s="215"/>
      <c r="G420" s="215"/>
    </row>
    <row r="421">
      <c r="C421" s="215"/>
      <c r="D421" s="215"/>
      <c r="E421" s="215"/>
      <c r="G421" s="215"/>
    </row>
    <row r="422">
      <c r="C422" s="215"/>
      <c r="D422" s="215"/>
      <c r="E422" s="215"/>
      <c r="G422" s="215"/>
    </row>
    <row r="423">
      <c r="C423" s="215"/>
      <c r="D423" s="215"/>
      <c r="E423" s="215"/>
      <c r="G423" s="215"/>
    </row>
    <row r="424">
      <c r="C424" s="215"/>
      <c r="D424" s="215"/>
      <c r="E424" s="215"/>
      <c r="G424" s="215"/>
    </row>
    <row r="425">
      <c r="C425" s="215"/>
      <c r="D425" s="215"/>
      <c r="E425" s="215"/>
      <c r="G425" s="215"/>
    </row>
    <row r="426">
      <c r="C426" s="215"/>
      <c r="D426" s="215"/>
      <c r="E426" s="215"/>
      <c r="G426" s="215"/>
    </row>
    <row r="427">
      <c r="C427" s="215"/>
      <c r="D427" s="215"/>
      <c r="E427" s="215"/>
      <c r="G427" s="215"/>
    </row>
    <row r="428">
      <c r="C428" s="215"/>
      <c r="D428" s="215"/>
      <c r="E428" s="215"/>
      <c r="G428" s="215"/>
    </row>
    <row r="429">
      <c r="C429" s="215"/>
      <c r="D429" s="215"/>
      <c r="E429" s="215"/>
      <c r="G429" s="215"/>
    </row>
    <row r="430">
      <c r="C430" s="215"/>
      <c r="D430" s="215"/>
      <c r="E430" s="215"/>
      <c r="G430" s="215"/>
    </row>
    <row r="431">
      <c r="C431" s="215"/>
      <c r="D431" s="215"/>
      <c r="E431" s="215"/>
      <c r="G431" s="215"/>
    </row>
    <row r="432">
      <c r="C432" s="215"/>
      <c r="D432" s="215"/>
      <c r="E432" s="215"/>
      <c r="G432" s="215"/>
    </row>
    <row r="433">
      <c r="C433" s="215"/>
      <c r="D433" s="215"/>
      <c r="E433" s="215"/>
      <c r="G433" s="215"/>
    </row>
    <row r="434">
      <c r="C434" s="215"/>
      <c r="D434" s="215"/>
      <c r="E434" s="215"/>
      <c r="G434" s="215"/>
    </row>
    <row r="435">
      <c r="C435" s="215"/>
      <c r="D435" s="215"/>
      <c r="E435" s="215"/>
      <c r="G435" s="215"/>
    </row>
    <row r="436">
      <c r="C436" s="215"/>
      <c r="D436" s="215"/>
      <c r="E436" s="215"/>
      <c r="G436" s="215"/>
    </row>
    <row r="437">
      <c r="C437" s="215"/>
      <c r="D437" s="215"/>
      <c r="E437" s="215"/>
      <c r="G437" s="215"/>
    </row>
    <row r="438">
      <c r="C438" s="215"/>
      <c r="D438" s="215"/>
      <c r="E438" s="215"/>
      <c r="G438" s="215"/>
    </row>
    <row r="439">
      <c r="C439" s="215"/>
      <c r="D439" s="215"/>
      <c r="E439" s="215"/>
      <c r="G439" s="215"/>
    </row>
    <row r="440">
      <c r="C440" s="215"/>
      <c r="D440" s="215"/>
      <c r="E440" s="215"/>
      <c r="G440" s="215"/>
    </row>
    <row r="441">
      <c r="C441" s="215"/>
      <c r="D441" s="215"/>
      <c r="E441" s="215"/>
      <c r="G441" s="215"/>
    </row>
    <row r="442">
      <c r="C442" s="215"/>
      <c r="D442" s="215"/>
      <c r="E442" s="215"/>
      <c r="G442" s="215"/>
    </row>
    <row r="443">
      <c r="C443" s="215"/>
      <c r="D443" s="215"/>
      <c r="E443" s="215"/>
      <c r="G443" s="215"/>
    </row>
    <row r="444">
      <c r="C444" s="215"/>
      <c r="D444" s="215"/>
      <c r="E444" s="215"/>
      <c r="G444" s="215"/>
    </row>
    <row r="445">
      <c r="C445" s="215"/>
      <c r="D445" s="215"/>
      <c r="E445" s="215"/>
      <c r="G445" s="215"/>
    </row>
    <row r="446">
      <c r="C446" s="215"/>
      <c r="D446" s="215"/>
      <c r="E446" s="215"/>
      <c r="G446" s="215"/>
    </row>
    <row r="447">
      <c r="C447" s="215"/>
      <c r="D447" s="215"/>
      <c r="E447" s="215"/>
      <c r="G447" s="215"/>
    </row>
    <row r="448">
      <c r="C448" s="215"/>
      <c r="D448" s="215"/>
      <c r="E448" s="215"/>
      <c r="G448" s="215"/>
    </row>
    <row r="449">
      <c r="C449" s="215"/>
      <c r="D449" s="215"/>
      <c r="E449" s="215"/>
      <c r="G449" s="215"/>
    </row>
    <row r="450">
      <c r="C450" s="215"/>
      <c r="D450" s="215"/>
      <c r="E450" s="215"/>
      <c r="G450" s="215"/>
    </row>
    <row r="451">
      <c r="C451" s="215"/>
      <c r="D451" s="215"/>
      <c r="E451" s="215"/>
      <c r="G451" s="215"/>
    </row>
    <row r="452">
      <c r="C452" s="215"/>
      <c r="D452" s="215"/>
      <c r="E452" s="215"/>
      <c r="G452" s="215"/>
    </row>
    <row r="453">
      <c r="C453" s="215"/>
      <c r="D453" s="215"/>
      <c r="E453" s="215"/>
      <c r="G453" s="215"/>
    </row>
    <row r="454">
      <c r="C454" s="215"/>
      <c r="D454" s="215"/>
      <c r="E454" s="215"/>
      <c r="G454" s="215"/>
    </row>
    <row r="455">
      <c r="C455" s="215"/>
      <c r="D455" s="215"/>
      <c r="E455" s="215"/>
      <c r="G455" s="215"/>
    </row>
    <row r="456">
      <c r="C456" s="215"/>
      <c r="D456" s="215"/>
      <c r="E456" s="215"/>
      <c r="G456" s="215"/>
    </row>
    <row r="457">
      <c r="C457" s="215"/>
      <c r="D457" s="215"/>
      <c r="E457" s="215"/>
      <c r="G457" s="215"/>
    </row>
    <row r="458">
      <c r="C458" s="215"/>
      <c r="D458" s="215"/>
      <c r="E458" s="215"/>
      <c r="G458" s="215"/>
    </row>
    <row r="459">
      <c r="C459" s="215"/>
      <c r="D459" s="215"/>
      <c r="E459" s="215"/>
      <c r="G459" s="215"/>
    </row>
    <row r="460">
      <c r="C460" s="215"/>
      <c r="D460" s="215"/>
      <c r="E460" s="215"/>
      <c r="G460" s="215"/>
    </row>
    <row r="461">
      <c r="C461" s="215"/>
      <c r="D461" s="215"/>
      <c r="E461" s="215"/>
      <c r="G461" s="215"/>
    </row>
    <row r="462">
      <c r="C462" s="215"/>
      <c r="D462" s="215"/>
      <c r="E462" s="215"/>
      <c r="G462" s="215"/>
    </row>
    <row r="463">
      <c r="C463" s="215"/>
      <c r="D463" s="215"/>
      <c r="E463" s="215"/>
      <c r="G463" s="215"/>
    </row>
    <row r="464">
      <c r="C464" s="215"/>
      <c r="D464" s="215"/>
      <c r="E464" s="215"/>
      <c r="G464" s="215"/>
    </row>
    <row r="465">
      <c r="C465" s="215"/>
      <c r="D465" s="215"/>
      <c r="E465" s="215"/>
      <c r="G465" s="215"/>
    </row>
    <row r="466">
      <c r="C466" s="215"/>
      <c r="D466" s="215"/>
      <c r="E466" s="215"/>
      <c r="G466" s="215"/>
    </row>
    <row r="467">
      <c r="C467" s="215"/>
      <c r="D467" s="215"/>
      <c r="E467" s="215"/>
      <c r="G467" s="215"/>
    </row>
    <row r="468">
      <c r="C468" s="215"/>
      <c r="D468" s="215"/>
      <c r="E468" s="215"/>
      <c r="G468" s="215"/>
    </row>
    <row r="469">
      <c r="C469" s="215"/>
      <c r="D469" s="215"/>
      <c r="E469" s="215"/>
      <c r="G469" s="215"/>
    </row>
    <row r="470">
      <c r="C470" s="215"/>
      <c r="D470" s="215"/>
      <c r="E470" s="215"/>
      <c r="G470" s="215"/>
    </row>
    <row r="471">
      <c r="C471" s="215"/>
      <c r="D471" s="215"/>
      <c r="E471" s="215"/>
      <c r="G471" s="215"/>
    </row>
    <row r="472">
      <c r="C472" s="215"/>
      <c r="D472" s="215"/>
      <c r="E472" s="215"/>
      <c r="G472" s="215"/>
    </row>
    <row r="473">
      <c r="C473" s="215"/>
      <c r="D473" s="215"/>
      <c r="E473" s="215"/>
      <c r="G473" s="215"/>
    </row>
    <row r="474">
      <c r="C474" s="215"/>
      <c r="D474" s="215"/>
      <c r="E474" s="215"/>
      <c r="G474" s="215"/>
    </row>
    <row r="475">
      <c r="C475" s="215"/>
      <c r="D475" s="215"/>
      <c r="E475" s="215"/>
      <c r="G475" s="215"/>
    </row>
    <row r="476">
      <c r="C476" s="215"/>
      <c r="D476" s="215"/>
      <c r="E476" s="215"/>
      <c r="G476" s="215"/>
    </row>
    <row r="477">
      <c r="C477" s="215"/>
      <c r="D477" s="215"/>
      <c r="E477" s="215"/>
      <c r="G477" s="215"/>
    </row>
    <row r="478">
      <c r="C478" s="215"/>
      <c r="D478" s="215"/>
      <c r="E478" s="215"/>
      <c r="G478" s="215"/>
    </row>
    <row r="479">
      <c r="C479" s="215"/>
      <c r="D479" s="215"/>
      <c r="E479" s="215"/>
      <c r="G479" s="215"/>
    </row>
    <row r="480">
      <c r="C480" s="215"/>
      <c r="D480" s="215"/>
      <c r="E480" s="215"/>
      <c r="G480" s="215"/>
    </row>
    <row r="481">
      <c r="C481" s="215"/>
      <c r="D481" s="215"/>
      <c r="E481" s="215"/>
      <c r="G481" s="215"/>
    </row>
    <row r="482">
      <c r="C482" s="215"/>
      <c r="D482" s="215"/>
      <c r="E482" s="215"/>
      <c r="G482" s="215"/>
    </row>
    <row r="483">
      <c r="C483" s="215"/>
      <c r="D483" s="215"/>
      <c r="E483" s="215"/>
      <c r="G483" s="215"/>
    </row>
    <row r="484">
      <c r="C484" s="215"/>
      <c r="D484" s="215"/>
      <c r="E484" s="215"/>
      <c r="G484" s="215"/>
    </row>
    <row r="485">
      <c r="C485" s="215"/>
      <c r="D485" s="215"/>
      <c r="E485" s="215"/>
      <c r="G485" s="215"/>
    </row>
    <row r="486">
      <c r="C486" s="215"/>
      <c r="D486" s="215"/>
      <c r="E486" s="215"/>
      <c r="G486" s="215"/>
    </row>
    <row r="487">
      <c r="C487" s="215"/>
      <c r="D487" s="215"/>
      <c r="E487" s="215"/>
      <c r="G487" s="215"/>
    </row>
    <row r="488">
      <c r="C488" s="215"/>
      <c r="D488" s="215"/>
      <c r="E488" s="215"/>
      <c r="G488" s="215"/>
    </row>
    <row r="489">
      <c r="C489" s="215"/>
      <c r="D489" s="215"/>
      <c r="E489" s="215"/>
      <c r="G489" s="215"/>
    </row>
    <row r="490">
      <c r="C490" s="215"/>
      <c r="D490" s="215"/>
      <c r="E490" s="215"/>
      <c r="G490" s="215"/>
    </row>
    <row r="491">
      <c r="C491" s="215"/>
      <c r="D491" s="215"/>
      <c r="E491" s="215"/>
      <c r="G491" s="215"/>
    </row>
    <row r="492">
      <c r="C492" s="215"/>
      <c r="D492" s="215"/>
      <c r="E492" s="215"/>
      <c r="G492" s="215"/>
    </row>
    <row r="493">
      <c r="C493" s="215"/>
      <c r="D493" s="215"/>
      <c r="E493" s="215"/>
      <c r="G493" s="215"/>
    </row>
    <row r="494">
      <c r="C494" s="215"/>
      <c r="D494" s="215"/>
      <c r="E494" s="215"/>
      <c r="G494" s="215"/>
    </row>
    <row r="495">
      <c r="C495" s="215"/>
      <c r="D495" s="215"/>
      <c r="E495" s="215"/>
      <c r="G495" s="215"/>
    </row>
    <row r="496">
      <c r="C496" s="215"/>
      <c r="D496" s="215"/>
      <c r="E496" s="215"/>
      <c r="G496" s="215"/>
    </row>
    <row r="497">
      <c r="C497" s="215"/>
      <c r="D497" s="215"/>
      <c r="E497" s="215"/>
      <c r="G497" s="215"/>
    </row>
    <row r="498">
      <c r="C498" s="215"/>
      <c r="D498" s="215"/>
      <c r="E498" s="215"/>
      <c r="G498" s="215"/>
    </row>
    <row r="499">
      <c r="C499" s="215"/>
      <c r="D499" s="215"/>
      <c r="E499" s="215"/>
      <c r="G499" s="215"/>
    </row>
    <row r="500">
      <c r="C500" s="215"/>
      <c r="D500" s="215"/>
      <c r="E500" s="215"/>
      <c r="G500" s="215"/>
    </row>
    <row r="501">
      <c r="C501" s="215"/>
      <c r="D501" s="215"/>
      <c r="E501" s="215"/>
      <c r="G501" s="215"/>
    </row>
    <row r="502">
      <c r="C502" s="215"/>
      <c r="D502" s="215"/>
      <c r="E502" s="215"/>
      <c r="G502" s="215"/>
    </row>
    <row r="503">
      <c r="C503" s="215"/>
      <c r="D503" s="215"/>
      <c r="E503" s="215"/>
      <c r="G503" s="215"/>
    </row>
    <row r="504">
      <c r="C504" s="215"/>
      <c r="D504" s="215"/>
      <c r="E504" s="215"/>
      <c r="G504" s="215"/>
    </row>
    <row r="505">
      <c r="C505" s="215"/>
      <c r="D505" s="215"/>
      <c r="E505" s="215"/>
      <c r="G505" s="215"/>
    </row>
    <row r="506">
      <c r="C506" s="215"/>
      <c r="D506" s="215"/>
      <c r="E506" s="215"/>
      <c r="G506" s="215"/>
    </row>
    <row r="507">
      <c r="C507" s="215"/>
      <c r="D507" s="215"/>
      <c r="E507" s="215"/>
      <c r="G507" s="215"/>
    </row>
    <row r="508">
      <c r="C508" s="215"/>
      <c r="D508" s="215"/>
      <c r="E508" s="215"/>
      <c r="G508" s="215"/>
    </row>
    <row r="509">
      <c r="C509" s="215"/>
      <c r="D509" s="215"/>
      <c r="E509" s="215"/>
      <c r="G509" s="215"/>
    </row>
    <row r="510">
      <c r="C510" s="215"/>
      <c r="D510" s="215"/>
      <c r="E510" s="215"/>
      <c r="G510" s="215"/>
    </row>
    <row r="511">
      <c r="C511" s="215"/>
      <c r="D511" s="215"/>
      <c r="E511" s="215"/>
      <c r="G511" s="215"/>
    </row>
    <row r="512">
      <c r="C512" s="215"/>
      <c r="D512" s="215"/>
      <c r="E512" s="215"/>
      <c r="G512" s="215"/>
    </row>
    <row r="513">
      <c r="C513" s="215"/>
      <c r="D513" s="215"/>
      <c r="E513" s="215"/>
      <c r="G513" s="215"/>
    </row>
    <row r="514">
      <c r="C514" s="215"/>
      <c r="D514" s="215"/>
      <c r="E514" s="215"/>
      <c r="G514" s="215"/>
    </row>
    <row r="515">
      <c r="C515" s="215"/>
      <c r="D515" s="215"/>
      <c r="E515" s="215"/>
      <c r="G515" s="215"/>
    </row>
    <row r="516">
      <c r="C516" s="215"/>
      <c r="D516" s="215"/>
      <c r="E516" s="215"/>
      <c r="G516" s="215"/>
    </row>
    <row r="517">
      <c r="C517" s="215"/>
      <c r="D517" s="215"/>
      <c r="E517" s="215"/>
      <c r="G517" s="215"/>
    </row>
    <row r="518">
      <c r="C518" s="215"/>
      <c r="D518" s="215"/>
      <c r="E518" s="215"/>
      <c r="G518" s="215"/>
    </row>
    <row r="519">
      <c r="C519" s="215"/>
      <c r="D519" s="215"/>
      <c r="E519" s="215"/>
      <c r="G519" s="215"/>
    </row>
    <row r="520">
      <c r="C520" s="215"/>
      <c r="D520" s="215"/>
      <c r="E520" s="215"/>
      <c r="G520" s="215"/>
    </row>
    <row r="521">
      <c r="C521" s="215"/>
      <c r="D521" s="215"/>
      <c r="E521" s="215"/>
      <c r="G521" s="215"/>
    </row>
    <row r="522">
      <c r="C522" s="215"/>
      <c r="D522" s="215"/>
      <c r="E522" s="215"/>
      <c r="G522" s="215"/>
    </row>
    <row r="523">
      <c r="C523" s="215"/>
      <c r="D523" s="215"/>
      <c r="E523" s="215"/>
      <c r="G523" s="215"/>
    </row>
    <row r="524">
      <c r="C524" s="215"/>
      <c r="D524" s="215"/>
      <c r="E524" s="215"/>
      <c r="G524" s="215"/>
    </row>
    <row r="525">
      <c r="C525" s="215"/>
      <c r="D525" s="215"/>
      <c r="E525" s="215"/>
      <c r="G525" s="215"/>
    </row>
    <row r="526">
      <c r="C526" s="215"/>
      <c r="D526" s="215"/>
      <c r="E526" s="215"/>
      <c r="G526" s="215"/>
    </row>
    <row r="527">
      <c r="C527" s="215"/>
      <c r="D527" s="215"/>
      <c r="E527" s="215"/>
      <c r="G527" s="215"/>
    </row>
    <row r="528">
      <c r="C528" s="215"/>
      <c r="D528" s="215"/>
      <c r="E528" s="215"/>
      <c r="G528" s="215"/>
    </row>
    <row r="529">
      <c r="C529" s="215"/>
      <c r="D529" s="215"/>
      <c r="E529" s="215"/>
      <c r="G529" s="215"/>
    </row>
    <row r="530">
      <c r="C530" s="215"/>
      <c r="D530" s="215"/>
      <c r="E530" s="215"/>
      <c r="G530" s="215"/>
    </row>
    <row r="531">
      <c r="C531" s="215"/>
      <c r="D531" s="215"/>
      <c r="E531" s="215"/>
      <c r="G531" s="215"/>
    </row>
    <row r="532">
      <c r="C532" s="215"/>
      <c r="D532" s="215"/>
      <c r="E532" s="215"/>
      <c r="G532" s="215"/>
    </row>
    <row r="533">
      <c r="C533" s="215"/>
      <c r="D533" s="215"/>
      <c r="E533" s="215"/>
      <c r="G533" s="215"/>
    </row>
    <row r="534">
      <c r="C534" s="215"/>
      <c r="D534" s="215"/>
      <c r="E534" s="215"/>
      <c r="G534" s="215"/>
    </row>
    <row r="535">
      <c r="C535" s="215"/>
      <c r="D535" s="215"/>
      <c r="E535" s="215"/>
      <c r="G535" s="215"/>
    </row>
    <row r="536">
      <c r="C536" s="215"/>
      <c r="D536" s="215"/>
      <c r="E536" s="215"/>
      <c r="G536" s="215"/>
    </row>
    <row r="537">
      <c r="C537" s="215"/>
      <c r="D537" s="215"/>
      <c r="E537" s="215"/>
      <c r="G537" s="215"/>
    </row>
    <row r="538">
      <c r="C538" s="215"/>
      <c r="D538" s="215"/>
      <c r="E538" s="215"/>
      <c r="G538" s="215"/>
    </row>
    <row r="539">
      <c r="C539" s="215"/>
      <c r="D539" s="215"/>
      <c r="E539" s="215"/>
      <c r="G539" s="215"/>
    </row>
    <row r="540">
      <c r="C540" s="215"/>
      <c r="D540" s="215"/>
      <c r="E540" s="215"/>
      <c r="G540" s="215"/>
    </row>
    <row r="541">
      <c r="C541" s="215"/>
      <c r="D541" s="215"/>
      <c r="E541" s="215"/>
      <c r="G541" s="215"/>
    </row>
    <row r="542">
      <c r="C542" s="215"/>
      <c r="D542" s="215"/>
      <c r="E542" s="215"/>
      <c r="G542" s="215"/>
    </row>
    <row r="543">
      <c r="C543" s="215"/>
      <c r="D543" s="215"/>
      <c r="E543" s="215"/>
      <c r="G543" s="215"/>
    </row>
    <row r="544">
      <c r="C544" s="215"/>
      <c r="D544" s="215"/>
      <c r="E544" s="215"/>
      <c r="G544" s="215"/>
    </row>
    <row r="545">
      <c r="C545" s="215"/>
      <c r="D545" s="215"/>
      <c r="E545" s="215"/>
      <c r="G545" s="215"/>
    </row>
    <row r="546">
      <c r="C546" s="215"/>
      <c r="D546" s="215"/>
      <c r="E546" s="215"/>
      <c r="G546" s="215"/>
    </row>
    <row r="547">
      <c r="C547" s="215"/>
      <c r="D547" s="215"/>
      <c r="E547" s="215"/>
      <c r="G547" s="215"/>
    </row>
    <row r="548">
      <c r="C548" s="215"/>
      <c r="D548" s="215"/>
      <c r="E548" s="215"/>
      <c r="G548" s="215"/>
    </row>
    <row r="549">
      <c r="C549" s="215"/>
      <c r="D549" s="215"/>
      <c r="E549" s="215"/>
      <c r="G549" s="215"/>
    </row>
    <row r="550">
      <c r="C550" s="215"/>
      <c r="D550" s="215"/>
      <c r="E550" s="215"/>
      <c r="G550" s="215"/>
    </row>
    <row r="551">
      <c r="C551" s="215"/>
      <c r="D551" s="215"/>
      <c r="E551" s="215"/>
      <c r="G551" s="215"/>
    </row>
    <row r="552">
      <c r="C552" s="215"/>
      <c r="D552" s="215"/>
      <c r="E552" s="215"/>
      <c r="G552" s="215"/>
    </row>
    <row r="553">
      <c r="C553" s="215"/>
      <c r="D553" s="215"/>
      <c r="E553" s="215"/>
      <c r="G553" s="215"/>
    </row>
    <row r="554">
      <c r="C554" s="215"/>
      <c r="D554" s="215"/>
      <c r="E554" s="215"/>
      <c r="G554" s="215"/>
    </row>
    <row r="555">
      <c r="C555" s="215"/>
      <c r="D555" s="215"/>
      <c r="E555" s="215"/>
      <c r="G555" s="215"/>
    </row>
    <row r="556">
      <c r="C556" s="215"/>
      <c r="D556" s="215"/>
      <c r="E556" s="215"/>
      <c r="G556" s="215"/>
    </row>
    <row r="557">
      <c r="C557" s="215"/>
      <c r="D557" s="215"/>
      <c r="E557" s="215"/>
      <c r="G557" s="215"/>
    </row>
    <row r="558">
      <c r="C558" s="215"/>
      <c r="D558" s="215"/>
      <c r="E558" s="215"/>
      <c r="G558" s="215"/>
    </row>
    <row r="559">
      <c r="C559" s="215"/>
      <c r="D559" s="215"/>
      <c r="E559" s="215"/>
      <c r="G559" s="215"/>
    </row>
    <row r="560">
      <c r="C560" s="215"/>
      <c r="D560" s="215"/>
      <c r="E560" s="215"/>
      <c r="G560" s="215"/>
    </row>
    <row r="561">
      <c r="C561" s="215"/>
      <c r="D561" s="215"/>
      <c r="E561" s="215"/>
      <c r="G561" s="215"/>
    </row>
    <row r="562">
      <c r="C562" s="215"/>
      <c r="D562" s="215"/>
      <c r="E562" s="215"/>
      <c r="G562" s="215"/>
    </row>
    <row r="563">
      <c r="C563" s="215"/>
      <c r="D563" s="215"/>
      <c r="E563" s="215"/>
      <c r="G563" s="215"/>
    </row>
    <row r="564">
      <c r="C564" s="215"/>
      <c r="D564" s="215"/>
      <c r="E564" s="215"/>
      <c r="G564" s="215"/>
    </row>
    <row r="565">
      <c r="C565" s="215"/>
      <c r="D565" s="215"/>
      <c r="E565" s="215"/>
      <c r="G565" s="215"/>
    </row>
    <row r="566">
      <c r="C566" s="215"/>
      <c r="D566" s="215"/>
      <c r="E566" s="215"/>
      <c r="G566" s="215"/>
    </row>
    <row r="567">
      <c r="C567" s="215"/>
      <c r="D567" s="215"/>
      <c r="E567" s="215"/>
      <c r="G567" s="215"/>
    </row>
    <row r="568">
      <c r="C568" s="215"/>
      <c r="D568" s="215"/>
      <c r="E568" s="215"/>
      <c r="G568" s="215"/>
    </row>
    <row r="569">
      <c r="C569" s="215"/>
      <c r="D569" s="215"/>
      <c r="E569" s="215"/>
      <c r="G569" s="215"/>
    </row>
    <row r="570">
      <c r="C570" s="215"/>
      <c r="D570" s="215"/>
      <c r="E570" s="215"/>
      <c r="G570" s="215"/>
    </row>
    <row r="571">
      <c r="C571" s="215"/>
      <c r="D571" s="215"/>
      <c r="E571" s="215"/>
      <c r="G571" s="215"/>
    </row>
    <row r="572">
      <c r="C572" s="215"/>
      <c r="D572" s="215"/>
      <c r="E572" s="215"/>
      <c r="G572" s="215"/>
    </row>
    <row r="573">
      <c r="C573" s="215"/>
      <c r="D573" s="215"/>
      <c r="E573" s="215"/>
      <c r="G573" s="215"/>
    </row>
    <row r="574">
      <c r="C574" s="215"/>
      <c r="D574" s="215"/>
      <c r="E574" s="215"/>
      <c r="G574" s="215"/>
    </row>
    <row r="575">
      <c r="C575" s="215"/>
      <c r="D575" s="215"/>
      <c r="E575" s="215"/>
      <c r="G575" s="215"/>
    </row>
    <row r="576">
      <c r="C576" s="215"/>
      <c r="D576" s="215"/>
      <c r="E576" s="215"/>
      <c r="G576" s="215"/>
    </row>
    <row r="577">
      <c r="C577" s="215"/>
      <c r="D577" s="215"/>
      <c r="E577" s="215"/>
      <c r="G577" s="215"/>
    </row>
    <row r="578">
      <c r="C578" s="215"/>
      <c r="D578" s="215"/>
      <c r="E578" s="215"/>
      <c r="G578" s="215"/>
    </row>
    <row r="579">
      <c r="C579" s="215"/>
      <c r="D579" s="215"/>
      <c r="E579" s="215"/>
      <c r="G579" s="215"/>
    </row>
    <row r="580">
      <c r="C580" s="215"/>
      <c r="D580" s="215"/>
      <c r="E580" s="215"/>
      <c r="G580" s="215"/>
    </row>
    <row r="581">
      <c r="C581" s="215"/>
      <c r="D581" s="215"/>
      <c r="E581" s="215"/>
      <c r="G581" s="215"/>
    </row>
    <row r="582">
      <c r="C582" s="215"/>
      <c r="D582" s="215"/>
      <c r="E582" s="215"/>
      <c r="G582" s="215"/>
    </row>
    <row r="583">
      <c r="C583" s="215"/>
      <c r="D583" s="215"/>
      <c r="E583" s="215"/>
      <c r="G583" s="215"/>
    </row>
    <row r="584">
      <c r="C584" s="215"/>
      <c r="D584" s="215"/>
      <c r="E584" s="215"/>
      <c r="G584" s="215"/>
    </row>
    <row r="585">
      <c r="C585" s="215"/>
      <c r="D585" s="215"/>
      <c r="E585" s="215"/>
      <c r="G585" s="215"/>
    </row>
    <row r="586">
      <c r="C586" s="215"/>
      <c r="D586" s="215"/>
      <c r="E586" s="215"/>
      <c r="G586" s="215"/>
    </row>
    <row r="587">
      <c r="C587" s="215"/>
      <c r="D587" s="215"/>
      <c r="E587" s="215"/>
      <c r="G587" s="215"/>
    </row>
    <row r="588">
      <c r="C588" s="215"/>
      <c r="D588" s="215"/>
      <c r="E588" s="215"/>
      <c r="G588" s="215"/>
    </row>
    <row r="589">
      <c r="C589" s="215"/>
      <c r="D589" s="215"/>
      <c r="E589" s="215"/>
      <c r="G589" s="215"/>
    </row>
    <row r="590">
      <c r="C590" s="215"/>
      <c r="D590" s="215"/>
      <c r="E590" s="215"/>
      <c r="G590" s="215"/>
    </row>
    <row r="591">
      <c r="C591" s="215"/>
      <c r="D591" s="215"/>
      <c r="E591" s="215"/>
      <c r="G591" s="215"/>
    </row>
    <row r="592">
      <c r="C592" s="215"/>
      <c r="D592" s="215"/>
      <c r="E592" s="215"/>
      <c r="G592" s="215"/>
    </row>
    <row r="593">
      <c r="C593" s="215"/>
      <c r="D593" s="215"/>
      <c r="E593" s="215"/>
      <c r="G593" s="215"/>
    </row>
    <row r="594">
      <c r="C594" s="215"/>
      <c r="D594" s="215"/>
      <c r="E594" s="215"/>
      <c r="G594" s="215"/>
    </row>
    <row r="595">
      <c r="C595" s="215"/>
      <c r="D595" s="215"/>
      <c r="E595" s="215"/>
      <c r="G595" s="215"/>
    </row>
    <row r="596">
      <c r="C596" s="215"/>
      <c r="D596" s="215"/>
      <c r="E596" s="215"/>
      <c r="G596" s="215"/>
    </row>
    <row r="597">
      <c r="C597" s="215"/>
      <c r="D597" s="215"/>
      <c r="E597" s="215"/>
      <c r="G597" s="215"/>
    </row>
    <row r="598">
      <c r="C598" s="215"/>
      <c r="D598" s="215"/>
      <c r="E598" s="215"/>
      <c r="G598" s="215"/>
    </row>
    <row r="599">
      <c r="C599" s="215"/>
      <c r="D599" s="215"/>
      <c r="E599" s="215"/>
      <c r="G599" s="215"/>
    </row>
    <row r="600">
      <c r="C600" s="215"/>
      <c r="D600" s="215"/>
      <c r="E600" s="215"/>
      <c r="G600" s="215"/>
    </row>
    <row r="601">
      <c r="C601" s="215"/>
      <c r="D601" s="215"/>
      <c r="E601" s="215"/>
      <c r="G601" s="215"/>
    </row>
    <row r="602">
      <c r="C602" s="215"/>
      <c r="D602" s="215"/>
      <c r="E602" s="215"/>
      <c r="G602" s="215"/>
    </row>
    <row r="603">
      <c r="C603" s="215"/>
      <c r="D603" s="215"/>
      <c r="E603" s="215"/>
      <c r="G603" s="215"/>
    </row>
    <row r="604">
      <c r="C604" s="215"/>
      <c r="D604" s="215"/>
      <c r="E604" s="215"/>
      <c r="G604" s="215"/>
    </row>
    <row r="605">
      <c r="C605" s="215"/>
      <c r="D605" s="215"/>
      <c r="E605" s="215"/>
      <c r="G605" s="215"/>
    </row>
    <row r="606">
      <c r="C606" s="215"/>
      <c r="D606" s="215"/>
      <c r="E606" s="215"/>
      <c r="G606" s="215"/>
    </row>
    <row r="607">
      <c r="C607" s="215"/>
      <c r="D607" s="215"/>
      <c r="E607" s="215"/>
      <c r="G607" s="215"/>
    </row>
    <row r="608">
      <c r="C608" s="215"/>
      <c r="D608" s="215"/>
      <c r="E608" s="215"/>
      <c r="G608" s="215"/>
    </row>
    <row r="609">
      <c r="C609" s="215"/>
      <c r="D609" s="215"/>
      <c r="E609" s="215"/>
      <c r="G609" s="215"/>
    </row>
    <row r="610">
      <c r="C610" s="215"/>
      <c r="D610" s="215"/>
      <c r="E610" s="215"/>
      <c r="G610" s="215"/>
    </row>
    <row r="611">
      <c r="C611" s="215"/>
      <c r="D611" s="215"/>
      <c r="E611" s="215"/>
      <c r="G611" s="215"/>
    </row>
    <row r="612">
      <c r="C612" s="215"/>
      <c r="D612" s="215"/>
      <c r="E612" s="215"/>
      <c r="G612" s="215"/>
    </row>
    <row r="613">
      <c r="C613" s="215"/>
      <c r="D613" s="215"/>
      <c r="E613" s="215"/>
      <c r="G613" s="215"/>
    </row>
    <row r="614">
      <c r="C614" s="215"/>
      <c r="D614" s="215"/>
      <c r="E614" s="215"/>
      <c r="G614" s="215"/>
    </row>
    <row r="615">
      <c r="C615" s="215"/>
      <c r="D615" s="215"/>
      <c r="E615" s="215"/>
      <c r="G615" s="215"/>
    </row>
    <row r="616">
      <c r="C616" s="215"/>
      <c r="D616" s="215"/>
      <c r="E616" s="215"/>
      <c r="G616" s="215"/>
    </row>
    <row r="617">
      <c r="C617" s="215"/>
      <c r="D617" s="215"/>
      <c r="E617" s="215"/>
      <c r="G617" s="215"/>
    </row>
    <row r="618">
      <c r="C618" s="215"/>
      <c r="D618" s="215"/>
      <c r="E618" s="215"/>
      <c r="G618" s="215"/>
    </row>
    <row r="619">
      <c r="C619" s="215"/>
      <c r="D619" s="215"/>
      <c r="E619" s="215"/>
      <c r="G619" s="215"/>
    </row>
    <row r="620">
      <c r="C620" s="215"/>
      <c r="D620" s="215"/>
      <c r="E620" s="215"/>
      <c r="G620" s="215"/>
    </row>
    <row r="621">
      <c r="C621" s="215"/>
      <c r="D621" s="215"/>
      <c r="E621" s="215"/>
      <c r="G621" s="215"/>
    </row>
    <row r="622">
      <c r="C622" s="215"/>
      <c r="D622" s="215"/>
      <c r="E622" s="215"/>
      <c r="G622" s="215"/>
    </row>
    <row r="623">
      <c r="C623" s="215"/>
      <c r="D623" s="215"/>
      <c r="E623" s="215"/>
      <c r="G623" s="215"/>
    </row>
    <row r="624">
      <c r="C624" s="215"/>
      <c r="D624" s="215"/>
      <c r="E624" s="215"/>
      <c r="G624" s="215"/>
    </row>
    <row r="625">
      <c r="C625" s="215"/>
      <c r="D625" s="215"/>
      <c r="E625" s="215"/>
      <c r="G625" s="215"/>
    </row>
    <row r="626">
      <c r="C626" s="215"/>
      <c r="D626" s="215"/>
      <c r="E626" s="215"/>
      <c r="G626" s="215"/>
    </row>
    <row r="627">
      <c r="C627" s="215"/>
      <c r="D627" s="215"/>
      <c r="E627" s="215"/>
      <c r="G627" s="215"/>
    </row>
    <row r="628">
      <c r="C628" s="215"/>
      <c r="D628" s="215"/>
      <c r="E628" s="215"/>
      <c r="G628" s="215"/>
    </row>
    <row r="629">
      <c r="C629" s="215"/>
      <c r="D629" s="215"/>
      <c r="E629" s="215"/>
      <c r="G629" s="215"/>
    </row>
    <row r="630">
      <c r="C630" s="215"/>
      <c r="D630" s="215"/>
      <c r="E630" s="215"/>
      <c r="G630" s="215"/>
    </row>
    <row r="631">
      <c r="C631" s="215"/>
      <c r="D631" s="215"/>
      <c r="E631" s="215"/>
      <c r="G631" s="215"/>
    </row>
    <row r="632">
      <c r="C632" s="215"/>
      <c r="D632" s="215"/>
      <c r="E632" s="215"/>
      <c r="G632" s="215"/>
    </row>
    <row r="633">
      <c r="C633" s="215"/>
      <c r="D633" s="215"/>
      <c r="E633" s="215"/>
      <c r="G633" s="215"/>
    </row>
    <row r="634">
      <c r="C634" s="215"/>
      <c r="D634" s="215"/>
      <c r="E634" s="215"/>
      <c r="G634" s="215"/>
    </row>
    <row r="635">
      <c r="C635" s="215"/>
      <c r="D635" s="215"/>
      <c r="E635" s="215"/>
      <c r="G635" s="215"/>
    </row>
    <row r="636">
      <c r="C636" s="215"/>
      <c r="D636" s="215"/>
      <c r="E636" s="215"/>
      <c r="G636" s="215"/>
    </row>
    <row r="637">
      <c r="C637" s="215"/>
      <c r="D637" s="215"/>
      <c r="E637" s="215"/>
      <c r="G637" s="215"/>
    </row>
    <row r="638">
      <c r="C638" s="215"/>
      <c r="D638" s="215"/>
      <c r="E638" s="215"/>
      <c r="G638" s="215"/>
    </row>
    <row r="639">
      <c r="C639" s="215"/>
      <c r="D639" s="215"/>
      <c r="E639" s="215"/>
      <c r="G639" s="215"/>
    </row>
    <row r="640">
      <c r="C640" s="215"/>
      <c r="D640" s="215"/>
      <c r="E640" s="215"/>
      <c r="G640" s="215"/>
    </row>
    <row r="641">
      <c r="C641" s="215"/>
      <c r="D641" s="215"/>
      <c r="E641" s="215"/>
      <c r="G641" s="215"/>
    </row>
    <row r="642">
      <c r="C642" s="215"/>
      <c r="D642" s="215"/>
      <c r="E642" s="215"/>
      <c r="G642" s="215"/>
    </row>
    <row r="643">
      <c r="C643" s="215"/>
      <c r="D643" s="215"/>
      <c r="E643" s="215"/>
      <c r="G643" s="215"/>
    </row>
    <row r="644">
      <c r="C644" s="215"/>
      <c r="D644" s="215"/>
      <c r="E644" s="215"/>
      <c r="G644" s="215"/>
    </row>
    <row r="645">
      <c r="C645" s="215"/>
      <c r="D645" s="215"/>
      <c r="E645" s="215"/>
      <c r="G645" s="215"/>
    </row>
    <row r="646">
      <c r="C646" s="215"/>
      <c r="D646" s="215"/>
      <c r="E646" s="215"/>
      <c r="G646" s="215"/>
    </row>
    <row r="647">
      <c r="C647" s="215"/>
      <c r="D647" s="215"/>
      <c r="E647" s="215"/>
      <c r="G647" s="215"/>
    </row>
    <row r="648">
      <c r="C648" s="215"/>
      <c r="D648" s="215"/>
      <c r="E648" s="215"/>
      <c r="G648" s="215"/>
    </row>
    <row r="649">
      <c r="C649" s="215"/>
      <c r="D649" s="215"/>
      <c r="E649" s="215"/>
      <c r="G649" s="215"/>
    </row>
    <row r="650">
      <c r="C650" s="215"/>
      <c r="D650" s="215"/>
      <c r="E650" s="215"/>
      <c r="G650" s="215"/>
    </row>
    <row r="651">
      <c r="C651" s="215"/>
      <c r="D651" s="215"/>
      <c r="E651" s="215"/>
      <c r="G651" s="215"/>
    </row>
    <row r="652">
      <c r="C652" s="215"/>
      <c r="D652" s="215"/>
      <c r="E652" s="215"/>
      <c r="G652" s="215"/>
    </row>
    <row r="653">
      <c r="C653" s="215"/>
      <c r="D653" s="215"/>
      <c r="E653" s="215"/>
      <c r="G653" s="215"/>
    </row>
    <row r="654">
      <c r="C654" s="215"/>
      <c r="D654" s="215"/>
      <c r="E654" s="215"/>
      <c r="G654" s="215"/>
    </row>
    <row r="655">
      <c r="C655" s="215"/>
      <c r="D655" s="215"/>
      <c r="E655" s="215"/>
      <c r="G655" s="215"/>
    </row>
    <row r="656">
      <c r="C656" s="215"/>
      <c r="D656" s="215"/>
      <c r="E656" s="215"/>
      <c r="G656" s="215"/>
    </row>
    <row r="657">
      <c r="C657" s="215"/>
      <c r="D657" s="215"/>
      <c r="E657" s="215"/>
      <c r="G657" s="215"/>
    </row>
    <row r="658">
      <c r="C658" s="215"/>
      <c r="D658" s="215"/>
      <c r="E658" s="215"/>
      <c r="G658" s="215"/>
    </row>
    <row r="659">
      <c r="C659" s="215"/>
      <c r="D659" s="215"/>
      <c r="E659" s="215"/>
      <c r="G659" s="215"/>
    </row>
    <row r="660">
      <c r="C660" s="215"/>
      <c r="D660" s="215"/>
      <c r="E660" s="215"/>
      <c r="G660" s="215"/>
    </row>
    <row r="661">
      <c r="C661" s="215"/>
      <c r="D661" s="215"/>
      <c r="E661" s="215"/>
      <c r="G661" s="215"/>
    </row>
    <row r="662">
      <c r="C662" s="215"/>
      <c r="D662" s="215"/>
      <c r="E662" s="215"/>
      <c r="G662" s="215"/>
    </row>
    <row r="663">
      <c r="C663" s="215"/>
      <c r="D663" s="215"/>
      <c r="E663" s="215"/>
      <c r="G663" s="215"/>
    </row>
    <row r="664">
      <c r="C664" s="215"/>
      <c r="D664" s="215"/>
      <c r="E664" s="215"/>
      <c r="G664" s="215"/>
    </row>
    <row r="665">
      <c r="C665" s="215"/>
      <c r="D665" s="215"/>
      <c r="E665" s="215"/>
      <c r="G665" s="215"/>
    </row>
    <row r="666">
      <c r="C666" s="215"/>
      <c r="D666" s="215"/>
      <c r="E666" s="215"/>
      <c r="G666" s="215"/>
    </row>
    <row r="667">
      <c r="C667" s="215"/>
      <c r="D667" s="215"/>
      <c r="E667" s="215"/>
      <c r="G667" s="215"/>
    </row>
    <row r="668">
      <c r="C668" s="215"/>
      <c r="D668" s="215"/>
      <c r="E668" s="215"/>
      <c r="G668" s="215"/>
    </row>
    <row r="669">
      <c r="C669" s="215"/>
      <c r="D669" s="215"/>
      <c r="E669" s="215"/>
      <c r="G669" s="215"/>
    </row>
    <row r="670">
      <c r="C670" s="215"/>
      <c r="D670" s="215"/>
      <c r="E670" s="215"/>
      <c r="G670" s="215"/>
    </row>
    <row r="671">
      <c r="C671" s="215"/>
      <c r="D671" s="215"/>
      <c r="E671" s="215"/>
      <c r="G671" s="215"/>
    </row>
    <row r="672">
      <c r="C672" s="215"/>
      <c r="D672" s="215"/>
      <c r="E672" s="215"/>
      <c r="G672" s="215"/>
    </row>
    <row r="673">
      <c r="C673" s="215"/>
      <c r="D673" s="215"/>
      <c r="E673" s="215"/>
      <c r="G673" s="215"/>
    </row>
    <row r="674">
      <c r="C674" s="215"/>
      <c r="D674" s="215"/>
      <c r="E674" s="215"/>
      <c r="G674" s="215"/>
    </row>
    <row r="675">
      <c r="C675" s="215"/>
      <c r="D675" s="215"/>
      <c r="E675" s="215"/>
      <c r="G675" s="215"/>
    </row>
    <row r="676">
      <c r="C676" s="215"/>
      <c r="D676" s="215"/>
      <c r="E676" s="215"/>
      <c r="G676" s="215"/>
    </row>
    <row r="677">
      <c r="C677" s="215"/>
      <c r="D677" s="215"/>
      <c r="E677" s="215"/>
      <c r="G677" s="215"/>
    </row>
    <row r="678">
      <c r="C678" s="215"/>
      <c r="D678" s="215"/>
      <c r="E678" s="215"/>
      <c r="G678" s="215"/>
    </row>
    <row r="679">
      <c r="C679" s="215"/>
      <c r="D679" s="215"/>
      <c r="E679" s="215"/>
      <c r="G679" s="215"/>
    </row>
    <row r="680">
      <c r="C680" s="215"/>
      <c r="D680" s="215"/>
      <c r="E680" s="215"/>
      <c r="G680" s="215"/>
    </row>
    <row r="681">
      <c r="C681" s="215"/>
      <c r="D681" s="215"/>
      <c r="E681" s="215"/>
      <c r="G681" s="215"/>
    </row>
    <row r="682">
      <c r="C682" s="215"/>
      <c r="D682" s="215"/>
      <c r="E682" s="215"/>
      <c r="G682" s="215"/>
    </row>
    <row r="683">
      <c r="C683" s="215"/>
      <c r="D683" s="215"/>
      <c r="E683" s="215"/>
      <c r="G683" s="215"/>
    </row>
    <row r="684">
      <c r="C684" s="215"/>
      <c r="D684" s="215"/>
      <c r="E684" s="215"/>
      <c r="G684" s="215"/>
    </row>
    <row r="685">
      <c r="C685" s="215"/>
      <c r="D685" s="215"/>
      <c r="E685" s="215"/>
      <c r="G685" s="215"/>
    </row>
    <row r="686">
      <c r="C686" s="215"/>
      <c r="D686" s="215"/>
      <c r="E686" s="215"/>
      <c r="G686" s="215"/>
    </row>
    <row r="687">
      <c r="C687" s="215"/>
      <c r="D687" s="215"/>
      <c r="E687" s="215"/>
      <c r="G687" s="215"/>
    </row>
    <row r="688">
      <c r="C688" s="215"/>
      <c r="D688" s="215"/>
      <c r="E688" s="215"/>
      <c r="G688" s="215"/>
    </row>
    <row r="689">
      <c r="C689" s="215"/>
      <c r="D689" s="215"/>
      <c r="E689" s="215"/>
      <c r="G689" s="215"/>
    </row>
    <row r="690">
      <c r="C690" s="215"/>
      <c r="D690" s="215"/>
      <c r="E690" s="215"/>
      <c r="G690" s="215"/>
    </row>
    <row r="691">
      <c r="C691" s="215"/>
      <c r="D691" s="215"/>
      <c r="E691" s="215"/>
      <c r="G691" s="215"/>
    </row>
    <row r="692">
      <c r="C692" s="215"/>
      <c r="D692" s="215"/>
      <c r="E692" s="215"/>
      <c r="G692" s="215"/>
    </row>
    <row r="693">
      <c r="C693" s="215"/>
      <c r="D693" s="215"/>
      <c r="E693" s="215"/>
      <c r="G693" s="215"/>
    </row>
    <row r="694">
      <c r="C694" s="215"/>
      <c r="D694" s="215"/>
      <c r="E694" s="215"/>
      <c r="G694" s="215"/>
    </row>
    <row r="695">
      <c r="C695" s="215"/>
      <c r="D695" s="215"/>
      <c r="E695" s="215"/>
      <c r="G695" s="215"/>
    </row>
    <row r="696">
      <c r="C696" s="215"/>
      <c r="D696" s="215"/>
      <c r="E696" s="215"/>
      <c r="G696" s="215"/>
    </row>
    <row r="697">
      <c r="C697" s="215"/>
      <c r="D697" s="215"/>
      <c r="E697" s="215"/>
      <c r="G697" s="215"/>
    </row>
    <row r="698">
      <c r="C698" s="215"/>
      <c r="D698" s="215"/>
      <c r="E698" s="215"/>
      <c r="G698" s="215"/>
    </row>
    <row r="699">
      <c r="C699" s="215"/>
      <c r="D699" s="215"/>
      <c r="E699" s="215"/>
      <c r="G699" s="215"/>
    </row>
    <row r="700">
      <c r="C700" s="215"/>
      <c r="D700" s="215"/>
      <c r="E700" s="215"/>
      <c r="G700" s="215"/>
    </row>
    <row r="701">
      <c r="C701" s="215"/>
      <c r="D701" s="215"/>
      <c r="E701" s="215"/>
      <c r="G701" s="215"/>
    </row>
    <row r="702">
      <c r="C702" s="215"/>
      <c r="D702" s="215"/>
      <c r="E702" s="215"/>
      <c r="G702" s="215"/>
    </row>
    <row r="703">
      <c r="C703" s="215"/>
      <c r="D703" s="215"/>
      <c r="E703" s="215"/>
      <c r="G703" s="215"/>
    </row>
    <row r="704">
      <c r="C704" s="215"/>
      <c r="D704" s="215"/>
      <c r="E704" s="215"/>
      <c r="G704" s="215"/>
    </row>
    <row r="705">
      <c r="C705" s="215"/>
      <c r="D705" s="215"/>
      <c r="E705" s="215"/>
      <c r="G705" s="215"/>
    </row>
    <row r="706">
      <c r="C706" s="215"/>
      <c r="D706" s="215"/>
      <c r="E706" s="215"/>
      <c r="G706" s="215"/>
    </row>
    <row r="707">
      <c r="C707" s="215"/>
      <c r="D707" s="215"/>
      <c r="E707" s="215"/>
      <c r="G707" s="215"/>
    </row>
    <row r="708">
      <c r="C708" s="215"/>
      <c r="D708" s="215"/>
      <c r="E708" s="215"/>
      <c r="G708" s="215"/>
    </row>
    <row r="709">
      <c r="C709" s="215"/>
      <c r="D709" s="215"/>
      <c r="E709" s="215"/>
      <c r="G709" s="215"/>
    </row>
    <row r="710">
      <c r="C710" s="215"/>
      <c r="D710" s="215"/>
      <c r="E710" s="215"/>
      <c r="G710" s="215"/>
    </row>
    <row r="711">
      <c r="C711" s="215"/>
      <c r="D711" s="215"/>
      <c r="E711" s="215"/>
      <c r="G711" s="215"/>
    </row>
    <row r="712">
      <c r="C712" s="215"/>
      <c r="D712" s="215"/>
      <c r="E712" s="215"/>
      <c r="G712" s="215"/>
    </row>
    <row r="713">
      <c r="C713" s="215"/>
      <c r="D713" s="215"/>
      <c r="E713" s="215"/>
      <c r="G713" s="215"/>
    </row>
    <row r="714">
      <c r="C714" s="215"/>
      <c r="D714" s="215"/>
      <c r="E714" s="215"/>
      <c r="G714" s="215"/>
    </row>
    <row r="715">
      <c r="C715" s="215"/>
      <c r="D715" s="215"/>
      <c r="E715" s="215"/>
      <c r="G715" s="215"/>
    </row>
    <row r="716">
      <c r="C716" s="215"/>
      <c r="D716" s="215"/>
      <c r="E716" s="215"/>
      <c r="G716" s="215"/>
    </row>
    <row r="717">
      <c r="C717" s="215"/>
      <c r="D717" s="215"/>
      <c r="E717" s="215"/>
      <c r="G717" s="215"/>
    </row>
    <row r="718">
      <c r="C718" s="215"/>
      <c r="D718" s="215"/>
      <c r="E718" s="215"/>
      <c r="G718" s="215"/>
    </row>
    <row r="719">
      <c r="C719" s="215"/>
      <c r="D719" s="215"/>
      <c r="E719" s="215"/>
      <c r="G719" s="215"/>
    </row>
    <row r="720">
      <c r="C720" s="215"/>
      <c r="D720" s="215"/>
      <c r="E720" s="215"/>
      <c r="G720" s="215"/>
    </row>
    <row r="721">
      <c r="C721" s="215"/>
      <c r="D721" s="215"/>
      <c r="E721" s="215"/>
      <c r="G721" s="215"/>
    </row>
    <row r="722">
      <c r="C722" s="215"/>
      <c r="D722" s="215"/>
      <c r="E722" s="215"/>
      <c r="G722" s="215"/>
    </row>
    <row r="723">
      <c r="C723" s="215"/>
      <c r="D723" s="215"/>
      <c r="E723" s="215"/>
      <c r="G723" s="215"/>
    </row>
    <row r="724">
      <c r="C724" s="215"/>
      <c r="D724" s="215"/>
      <c r="E724" s="215"/>
      <c r="G724" s="215"/>
    </row>
    <row r="725">
      <c r="C725" s="215"/>
      <c r="D725" s="215"/>
      <c r="E725" s="215"/>
      <c r="G725" s="215"/>
    </row>
    <row r="726">
      <c r="C726" s="215"/>
      <c r="D726" s="215"/>
      <c r="E726" s="215"/>
      <c r="G726" s="215"/>
    </row>
    <row r="727">
      <c r="C727" s="215"/>
      <c r="D727" s="215"/>
      <c r="E727" s="215"/>
      <c r="G727" s="215"/>
    </row>
    <row r="728">
      <c r="C728" s="215"/>
      <c r="D728" s="215"/>
      <c r="E728" s="215"/>
      <c r="G728" s="215"/>
    </row>
    <row r="729">
      <c r="C729" s="215"/>
      <c r="D729" s="215"/>
      <c r="E729" s="215"/>
      <c r="G729" s="215"/>
    </row>
    <row r="730">
      <c r="C730" s="215"/>
      <c r="D730" s="215"/>
      <c r="E730" s="215"/>
      <c r="G730" s="215"/>
    </row>
    <row r="731">
      <c r="C731" s="215"/>
      <c r="D731" s="215"/>
      <c r="E731" s="215"/>
      <c r="G731" s="215"/>
    </row>
    <row r="732">
      <c r="C732" s="215"/>
      <c r="D732" s="215"/>
      <c r="E732" s="215"/>
      <c r="G732" s="215"/>
    </row>
    <row r="733">
      <c r="C733" s="215"/>
      <c r="D733" s="215"/>
      <c r="E733" s="215"/>
      <c r="G733" s="215"/>
    </row>
    <row r="734">
      <c r="C734" s="215"/>
      <c r="D734" s="215"/>
      <c r="E734" s="215"/>
      <c r="G734" s="215"/>
    </row>
    <row r="735">
      <c r="C735" s="215"/>
      <c r="D735" s="215"/>
      <c r="E735" s="215"/>
      <c r="G735" s="215"/>
    </row>
    <row r="736">
      <c r="C736" s="215"/>
      <c r="D736" s="215"/>
      <c r="E736" s="215"/>
      <c r="G736" s="215"/>
    </row>
    <row r="737">
      <c r="C737" s="215"/>
      <c r="D737" s="215"/>
      <c r="E737" s="215"/>
      <c r="G737" s="215"/>
    </row>
    <row r="738">
      <c r="C738" s="215"/>
      <c r="D738" s="215"/>
      <c r="E738" s="215"/>
      <c r="G738" s="215"/>
    </row>
    <row r="739">
      <c r="C739" s="215"/>
      <c r="D739" s="215"/>
      <c r="E739" s="215"/>
      <c r="G739" s="215"/>
    </row>
    <row r="740">
      <c r="C740" s="215"/>
      <c r="D740" s="215"/>
      <c r="E740" s="215"/>
      <c r="G740" s="215"/>
    </row>
    <row r="741">
      <c r="C741" s="215"/>
      <c r="D741" s="215"/>
      <c r="E741" s="215"/>
      <c r="G741" s="215"/>
    </row>
    <row r="742">
      <c r="C742" s="215"/>
      <c r="D742" s="215"/>
      <c r="E742" s="215"/>
      <c r="G742" s="215"/>
    </row>
    <row r="743">
      <c r="C743" s="215"/>
      <c r="D743" s="215"/>
      <c r="E743" s="215"/>
      <c r="G743" s="215"/>
    </row>
    <row r="744">
      <c r="C744" s="215"/>
      <c r="D744" s="215"/>
      <c r="E744" s="215"/>
      <c r="G744" s="215"/>
    </row>
    <row r="745">
      <c r="C745" s="215"/>
      <c r="D745" s="215"/>
      <c r="E745" s="215"/>
      <c r="G745" s="215"/>
    </row>
    <row r="746">
      <c r="C746" s="215"/>
      <c r="D746" s="215"/>
      <c r="E746" s="215"/>
      <c r="G746" s="215"/>
    </row>
    <row r="747">
      <c r="C747" s="215"/>
      <c r="D747" s="215"/>
      <c r="E747" s="215"/>
      <c r="G747" s="215"/>
    </row>
    <row r="748">
      <c r="C748" s="215"/>
      <c r="D748" s="215"/>
      <c r="E748" s="215"/>
      <c r="G748" s="215"/>
    </row>
    <row r="749">
      <c r="C749" s="215"/>
      <c r="D749" s="215"/>
      <c r="E749" s="215"/>
      <c r="G749" s="215"/>
    </row>
    <row r="750">
      <c r="C750" s="215"/>
      <c r="D750" s="215"/>
      <c r="E750" s="215"/>
      <c r="G750" s="215"/>
    </row>
    <row r="751">
      <c r="C751" s="215"/>
      <c r="D751" s="215"/>
      <c r="E751" s="215"/>
      <c r="G751" s="215"/>
    </row>
    <row r="752">
      <c r="C752" s="215"/>
      <c r="D752" s="215"/>
      <c r="E752" s="215"/>
      <c r="G752" s="215"/>
    </row>
    <row r="753">
      <c r="C753" s="215"/>
      <c r="D753" s="215"/>
      <c r="E753" s="215"/>
      <c r="G753" s="215"/>
    </row>
    <row r="754">
      <c r="C754" s="215"/>
      <c r="D754" s="215"/>
      <c r="E754" s="215"/>
      <c r="G754" s="215"/>
    </row>
    <row r="755">
      <c r="C755" s="215"/>
      <c r="D755" s="215"/>
      <c r="E755" s="215"/>
      <c r="G755" s="215"/>
    </row>
    <row r="756">
      <c r="C756" s="215"/>
      <c r="D756" s="215"/>
      <c r="E756" s="215"/>
      <c r="G756" s="215"/>
    </row>
    <row r="757">
      <c r="C757" s="215"/>
      <c r="D757" s="215"/>
      <c r="E757" s="215"/>
      <c r="G757" s="215"/>
    </row>
    <row r="758">
      <c r="C758" s="215"/>
      <c r="D758" s="215"/>
      <c r="E758" s="215"/>
      <c r="G758" s="215"/>
    </row>
    <row r="759">
      <c r="C759" s="215"/>
      <c r="D759" s="215"/>
      <c r="E759" s="215"/>
      <c r="G759" s="215"/>
    </row>
    <row r="760">
      <c r="C760" s="215"/>
      <c r="D760" s="215"/>
      <c r="E760" s="215"/>
      <c r="G760" s="215"/>
    </row>
    <row r="761">
      <c r="C761" s="215"/>
      <c r="D761" s="215"/>
      <c r="E761" s="215"/>
      <c r="G761" s="215"/>
    </row>
    <row r="762">
      <c r="C762" s="215"/>
      <c r="D762" s="215"/>
      <c r="E762" s="215"/>
      <c r="G762" s="215"/>
    </row>
    <row r="763">
      <c r="C763" s="215"/>
      <c r="D763" s="215"/>
      <c r="E763" s="215"/>
      <c r="G763" s="215"/>
    </row>
    <row r="764">
      <c r="C764" s="215"/>
      <c r="D764" s="215"/>
      <c r="E764" s="215"/>
      <c r="G764" s="215"/>
    </row>
    <row r="765">
      <c r="C765" s="215"/>
      <c r="D765" s="215"/>
      <c r="E765" s="215"/>
      <c r="G765" s="215"/>
    </row>
    <row r="766">
      <c r="C766" s="215"/>
      <c r="D766" s="215"/>
      <c r="E766" s="215"/>
      <c r="G766" s="215"/>
    </row>
    <row r="767">
      <c r="C767" s="215"/>
      <c r="D767" s="215"/>
      <c r="E767" s="215"/>
      <c r="G767" s="215"/>
    </row>
    <row r="768">
      <c r="C768" s="215"/>
      <c r="D768" s="215"/>
      <c r="E768" s="215"/>
      <c r="G768" s="215"/>
    </row>
    <row r="769">
      <c r="C769" s="215"/>
      <c r="D769" s="215"/>
      <c r="E769" s="215"/>
      <c r="G769" s="215"/>
    </row>
    <row r="770">
      <c r="C770" s="215"/>
      <c r="D770" s="215"/>
      <c r="E770" s="215"/>
      <c r="G770" s="215"/>
    </row>
    <row r="771">
      <c r="C771" s="215"/>
      <c r="D771" s="215"/>
      <c r="E771" s="215"/>
      <c r="G771" s="215"/>
    </row>
    <row r="772">
      <c r="C772" s="215"/>
      <c r="D772" s="215"/>
      <c r="E772" s="215"/>
      <c r="G772" s="215"/>
    </row>
    <row r="773">
      <c r="C773" s="215"/>
      <c r="D773" s="215"/>
      <c r="E773" s="215"/>
      <c r="G773" s="215"/>
    </row>
    <row r="774">
      <c r="C774" s="215"/>
      <c r="D774" s="215"/>
      <c r="E774" s="215"/>
      <c r="G774" s="215"/>
    </row>
    <row r="775">
      <c r="C775" s="215"/>
      <c r="D775" s="215"/>
      <c r="E775" s="215"/>
      <c r="G775" s="215"/>
    </row>
    <row r="776">
      <c r="C776" s="215"/>
      <c r="D776" s="215"/>
      <c r="E776" s="215"/>
      <c r="G776" s="215"/>
    </row>
    <row r="777">
      <c r="C777" s="215"/>
      <c r="D777" s="215"/>
      <c r="E777" s="215"/>
      <c r="G777" s="215"/>
    </row>
    <row r="778">
      <c r="C778" s="215"/>
      <c r="D778" s="215"/>
      <c r="E778" s="215"/>
      <c r="G778" s="215"/>
    </row>
    <row r="779">
      <c r="C779" s="215"/>
      <c r="D779" s="215"/>
      <c r="E779" s="215"/>
      <c r="G779" s="215"/>
    </row>
    <row r="780">
      <c r="C780" s="215"/>
      <c r="D780" s="215"/>
      <c r="E780" s="215"/>
      <c r="G780" s="215"/>
    </row>
    <row r="781">
      <c r="C781" s="215"/>
      <c r="D781" s="215"/>
      <c r="E781" s="215"/>
      <c r="G781" s="215"/>
    </row>
    <row r="782">
      <c r="C782" s="215"/>
      <c r="D782" s="215"/>
      <c r="E782" s="215"/>
      <c r="G782" s="215"/>
    </row>
    <row r="783">
      <c r="C783" s="215"/>
      <c r="D783" s="215"/>
      <c r="E783" s="215"/>
      <c r="G783" s="215"/>
    </row>
    <row r="784">
      <c r="C784" s="215"/>
      <c r="D784" s="215"/>
      <c r="E784" s="215"/>
      <c r="G784" s="215"/>
    </row>
    <row r="785">
      <c r="C785" s="215"/>
      <c r="D785" s="215"/>
      <c r="E785" s="215"/>
      <c r="G785" s="215"/>
    </row>
    <row r="786">
      <c r="C786" s="215"/>
      <c r="D786" s="215"/>
      <c r="E786" s="215"/>
      <c r="G786" s="215"/>
    </row>
    <row r="787">
      <c r="C787" s="215"/>
      <c r="D787" s="215"/>
      <c r="E787" s="215"/>
      <c r="G787" s="215"/>
    </row>
    <row r="788">
      <c r="C788" s="215"/>
      <c r="D788" s="215"/>
      <c r="E788" s="215"/>
      <c r="G788" s="215"/>
    </row>
    <row r="789">
      <c r="C789" s="215"/>
      <c r="D789" s="215"/>
      <c r="E789" s="215"/>
      <c r="G789" s="215"/>
    </row>
    <row r="790">
      <c r="C790" s="215"/>
      <c r="D790" s="215"/>
      <c r="E790" s="215"/>
      <c r="G790" s="215"/>
    </row>
    <row r="791">
      <c r="C791" s="215"/>
      <c r="D791" s="215"/>
      <c r="E791" s="215"/>
      <c r="G791" s="215"/>
    </row>
    <row r="792">
      <c r="C792" s="215"/>
      <c r="D792" s="215"/>
      <c r="E792" s="215"/>
      <c r="G792" s="215"/>
    </row>
    <row r="793">
      <c r="C793" s="215"/>
      <c r="D793" s="215"/>
      <c r="E793" s="215"/>
      <c r="G793" s="215"/>
    </row>
    <row r="794">
      <c r="C794" s="215"/>
      <c r="D794" s="215"/>
      <c r="E794" s="215"/>
      <c r="G794" s="215"/>
    </row>
    <row r="795">
      <c r="C795" s="215"/>
      <c r="D795" s="215"/>
      <c r="E795" s="215"/>
      <c r="G795" s="215"/>
    </row>
    <row r="796">
      <c r="C796" s="215"/>
      <c r="D796" s="215"/>
      <c r="E796" s="215"/>
      <c r="G796" s="215"/>
    </row>
    <row r="797">
      <c r="C797" s="215"/>
      <c r="D797" s="215"/>
      <c r="E797" s="215"/>
      <c r="G797" s="215"/>
    </row>
    <row r="798">
      <c r="C798" s="215"/>
      <c r="D798" s="215"/>
      <c r="E798" s="215"/>
      <c r="G798" s="215"/>
    </row>
    <row r="799">
      <c r="C799" s="215"/>
      <c r="D799" s="215"/>
      <c r="E799" s="215"/>
      <c r="G799" s="215"/>
    </row>
    <row r="800">
      <c r="C800" s="215"/>
      <c r="D800" s="215"/>
      <c r="E800" s="215"/>
      <c r="G800" s="215"/>
    </row>
    <row r="801">
      <c r="C801" s="215"/>
      <c r="D801" s="215"/>
      <c r="E801" s="215"/>
      <c r="G801" s="215"/>
    </row>
    <row r="802">
      <c r="C802" s="215"/>
      <c r="D802" s="215"/>
      <c r="E802" s="215"/>
      <c r="G802" s="215"/>
    </row>
    <row r="803">
      <c r="C803" s="215"/>
      <c r="D803" s="215"/>
      <c r="E803" s="215"/>
      <c r="G803" s="215"/>
    </row>
    <row r="804">
      <c r="C804" s="215"/>
      <c r="D804" s="215"/>
      <c r="E804" s="215"/>
      <c r="G804" s="215"/>
    </row>
    <row r="805">
      <c r="C805" s="215"/>
      <c r="D805" s="215"/>
      <c r="E805" s="215"/>
      <c r="G805" s="215"/>
    </row>
    <row r="806">
      <c r="C806" s="215"/>
      <c r="D806" s="215"/>
      <c r="E806" s="215"/>
      <c r="G806" s="215"/>
    </row>
    <row r="807">
      <c r="C807" s="215"/>
      <c r="D807" s="215"/>
      <c r="E807" s="215"/>
      <c r="G807" s="215"/>
    </row>
    <row r="808">
      <c r="C808" s="215"/>
      <c r="D808" s="215"/>
      <c r="E808" s="215"/>
      <c r="G808" s="215"/>
    </row>
    <row r="809">
      <c r="C809" s="215"/>
      <c r="D809" s="215"/>
      <c r="E809" s="215"/>
      <c r="G809" s="215"/>
    </row>
    <row r="810">
      <c r="C810" s="215"/>
      <c r="D810" s="215"/>
      <c r="E810" s="215"/>
      <c r="G810" s="215"/>
    </row>
    <row r="811">
      <c r="C811" s="215"/>
      <c r="D811" s="215"/>
      <c r="E811" s="215"/>
      <c r="G811" s="215"/>
    </row>
    <row r="812">
      <c r="C812" s="215"/>
      <c r="D812" s="215"/>
      <c r="E812" s="215"/>
      <c r="G812" s="215"/>
    </row>
    <row r="813">
      <c r="C813" s="215"/>
      <c r="D813" s="215"/>
      <c r="E813" s="215"/>
      <c r="G813" s="215"/>
    </row>
    <row r="814">
      <c r="C814" s="215"/>
      <c r="D814" s="215"/>
      <c r="E814" s="215"/>
      <c r="G814" s="215"/>
    </row>
    <row r="815">
      <c r="C815" s="215"/>
      <c r="D815" s="215"/>
      <c r="E815" s="215"/>
      <c r="G815" s="215"/>
    </row>
    <row r="816">
      <c r="C816" s="215"/>
      <c r="D816" s="215"/>
      <c r="E816" s="215"/>
      <c r="G816" s="215"/>
    </row>
    <row r="817">
      <c r="C817" s="215"/>
      <c r="D817" s="215"/>
      <c r="E817" s="215"/>
      <c r="G817" s="215"/>
    </row>
    <row r="818">
      <c r="C818" s="215"/>
      <c r="D818" s="215"/>
      <c r="E818" s="215"/>
      <c r="G818" s="215"/>
    </row>
    <row r="819">
      <c r="C819" s="215"/>
      <c r="D819" s="215"/>
      <c r="E819" s="215"/>
      <c r="G819" s="215"/>
    </row>
    <row r="820">
      <c r="C820" s="215"/>
      <c r="D820" s="215"/>
      <c r="E820" s="215"/>
      <c r="G820" s="215"/>
    </row>
    <row r="821">
      <c r="C821" s="215"/>
      <c r="D821" s="215"/>
      <c r="E821" s="215"/>
      <c r="G821" s="215"/>
    </row>
    <row r="822">
      <c r="C822" s="215"/>
      <c r="D822" s="215"/>
      <c r="E822" s="215"/>
      <c r="G822" s="215"/>
    </row>
    <row r="823">
      <c r="C823" s="215"/>
      <c r="D823" s="215"/>
      <c r="E823" s="215"/>
      <c r="G823" s="215"/>
    </row>
    <row r="824">
      <c r="C824" s="215"/>
      <c r="D824" s="215"/>
      <c r="E824" s="215"/>
      <c r="G824" s="215"/>
    </row>
    <row r="825">
      <c r="C825" s="215"/>
      <c r="D825" s="215"/>
      <c r="E825" s="215"/>
      <c r="G825" s="215"/>
    </row>
    <row r="826">
      <c r="C826" s="215"/>
      <c r="D826" s="215"/>
      <c r="E826" s="215"/>
      <c r="G826" s="215"/>
    </row>
    <row r="827">
      <c r="C827" s="215"/>
      <c r="D827" s="215"/>
      <c r="E827" s="215"/>
      <c r="G827" s="215"/>
    </row>
    <row r="828">
      <c r="C828" s="215"/>
      <c r="D828" s="215"/>
      <c r="E828" s="215"/>
      <c r="G828" s="215"/>
    </row>
    <row r="829">
      <c r="C829" s="215"/>
      <c r="D829" s="215"/>
      <c r="E829" s="215"/>
      <c r="G829" s="215"/>
    </row>
    <row r="830">
      <c r="C830" s="215"/>
      <c r="D830" s="215"/>
      <c r="E830" s="215"/>
      <c r="G830" s="215"/>
    </row>
    <row r="831">
      <c r="C831" s="215"/>
      <c r="D831" s="215"/>
      <c r="E831" s="215"/>
      <c r="G831" s="215"/>
    </row>
    <row r="832">
      <c r="C832" s="215"/>
      <c r="D832" s="215"/>
      <c r="E832" s="215"/>
      <c r="G832" s="215"/>
    </row>
    <row r="833">
      <c r="C833" s="215"/>
      <c r="D833" s="215"/>
      <c r="E833" s="215"/>
      <c r="G833" s="215"/>
    </row>
    <row r="834">
      <c r="C834" s="215"/>
      <c r="D834" s="215"/>
      <c r="E834" s="215"/>
      <c r="G834" s="215"/>
    </row>
    <row r="835">
      <c r="C835" s="215"/>
      <c r="D835" s="215"/>
      <c r="E835" s="215"/>
      <c r="G835" s="215"/>
    </row>
    <row r="836">
      <c r="C836" s="215"/>
      <c r="D836" s="215"/>
      <c r="E836" s="215"/>
      <c r="G836" s="215"/>
    </row>
    <row r="837">
      <c r="C837" s="215"/>
      <c r="D837" s="215"/>
      <c r="E837" s="215"/>
      <c r="G837" s="215"/>
    </row>
    <row r="838">
      <c r="C838" s="215"/>
      <c r="D838" s="215"/>
      <c r="E838" s="215"/>
      <c r="G838" s="215"/>
    </row>
    <row r="839">
      <c r="C839" s="215"/>
      <c r="D839" s="215"/>
      <c r="E839" s="215"/>
      <c r="G839" s="215"/>
    </row>
    <row r="840">
      <c r="C840" s="215"/>
      <c r="D840" s="215"/>
      <c r="E840" s="215"/>
      <c r="G840" s="215"/>
    </row>
    <row r="841">
      <c r="C841" s="215"/>
      <c r="D841" s="215"/>
      <c r="E841" s="215"/>
      <c r="G841" s="215"/>
    </row>
    <row r="842">
      <c r="C842" s="215"/>
      <c r="D842" s="215"/>
      <c r="E842" s="215"/>
      <c r="G842" s="215"/>
    </row>
    <row r="843">
      <c r="C843" s="215"/>
      <c r="D843" s="215"/>
      <c r="E843" s="215"/>
      <c r="G843" s="215"/>
    </row>
    <row r="844">
      <c r="C844" s="215"/>
      <c r="D844" s="215"/>
      <c r="E844" s="215"/>
      <c r="G844" s="215"/>
    </row>
    <row r="845">
      <c r="C845" s="215"/>
      <c r="D845" s="215"/>
      <c r="E845" s="215"/>
      <c r="G845" s="215"/>
    </row>
    <row r="846">
      <c r="C846" s="215"/>
      <c r="D846" s="215"/>
      <c r="E846" s="215"/>
      <c r="G846" s="215"/>
    </row>
    <row r="847">
      <c r="C847" s="215"/>
      <c r="D847" s="215"/>
      <c r="E847" s="215"/>
      <c r="G847" s="215"/>
    </row>
    <row r="848">
      <c r="C848" s="215"/>
      <c r="D848" s="215"/>
      <c r="E848" s="215"/>
      <c r="G848" s="215"/>
    </row>
    <row r="849">
      <c r="C849" s="215"/>
      <c r="D849" s="215"/>
      <c r="E849" s="215"/>
      <c r="G849" s="215"/>
    </row>
    <row r="850">
      <c r="C850" s="215"/>
      <c r="D850" s="215"/>
      <c r="E850" s="215"/>
      <c r="G850" s="215"/>
    </row>
    <row r="851">
      <c r="C851" s="215"/>
      <c r="D851" s="215"/>
      <c r="E851" s="215"/>
      <c r="G851" s="215"/>
    </row>
    <row r="852">
      <c r="C852" s="215"/>
      <c r="D852" s="215"/>
      <c r="E852" s="215"/>
      <c r="G852" s="215"/>
    </row>
    <row r="853">
      <c r="C853" s="215"/>
      <c r="D853" s="215"/>
      <c r="E853" s="215"/>
      <c r="G853" s="215"/>
    </row>
    <row r="854">
      <c r="C854" s="215"/>
      <c r="D854" s="215"/>
      <c r="E854" s="215"/>
      <c r="G854" s="215"/>
    </row>
    <row r="855">
      <c r="C855" s="215"/>
      <c r="D855" s="215"/>
      <c r="E855" s="215"/>
      <c r="G855" s="215"/>
    </row>
    <row r="856">
      <c r="C856" s="215"/>
      <c r="D856" s="215"/>
      <c r="E856" s="215"/>
      <c r="G856" s="215"/>
    </row>
    <row r="857">
      <c r="C857" s="215"/>
      <c r="D857" s="215"/>
      <c r="E857" s="215"/>
      <c r="G857" s="215"/>
    </row>
    <row r="858">
      <c r="C858" s="215"/>
      <c r="D858" s="215"/>
      <c r="E858" s="215"/>
      <c r="G858" s="215"/>
    </row>
    <row r="859">
      <c r="C859" s="215"/>
      <c r="D859" s="215"/>
      <c r="E859" s="215"/>
      <c r="G859" s="215"/>
    </row>
    <row r="860">
      <c r="C860" s="215"/>
      <c r="D860" s="215"/>
      <c r="E860" s="215"/>
      <c r="G860" s="215"/>
    </row>
    <row r="861">
      <c r="C861" s="215"/>
      <c r="D861" s="215"/>
      <c r="E861" s="215"/>
      <c r="G861" s="215"/>
    </row>
    <row r="862">
      <c r="C862" s="215"/>
      <c r="D862" s="215"/>
      <c r="E862" s="215"/>
      <c r="G862" s="215"/>
    </row>
    <row r="863">
      <c r="C863" s="215"/>
      <c r="D863" s="215"/>
      <c r="E863" s="215"/>
      <c r="G863" s="215"/>
    </row>
    <row r="864">
      <c r="C864" s="215"/>
      <c r="D864" s="215"/>
      <c r="E864" s="215"/>
      <c r="G864" s="215"/>
    </row>
    <row r="865">
      <c r="C865" s="215"/>
      <c r="D865" s="215"/>
      <c r="E865" s="215"/>
      <c r="G865" s="215"/>
    </row>
    <row r="866">
      <c r="C866" s="215"/>
      <c r="D866" s="215"/>
      <c r="E866" s="215"/>
      <c r="G866" s="215"/>
    </row>
    <row r="867">
      <c r="C867" s="215"/>
      <c r="D867" s="215"/>
      <c r="E867" s="215"/>
      <c r="G867" s="215"/>
    </row>
    <row r="868">
      <c r="C868" s="215"/>
      <c r="D868" s="215"/>
      <c r="E868" s="215"/>
      <c r="G868" s="215"/>
    </row>
    <row r="869">
      <c r="C869" s="215"/>
      <c r="D869" s="215"/>
      <c r="E869" s="215"/>
      <c r="G869" s="215"/>
    </row>
    <row r="870">
      <c r="C870" s="215"/>
      <c r="D870" s="215"/>
      <c r="E870" s="215"/>
      <c r="G870" s="215"/>
    </row>
    <row r="871">
      <c r="C871" s="215"/>
      <c r="D871" s="215"/>
      <c r="E871" s="215"/>
      <c r="G871" s="215"/>
    </row>
    <row r="872">
      <c r="C872" s="215"/>
      <c r="D872" s="215"/>
      <c r="E872" s="215"/>
      <c r="G872" s="215"/>
    </row>
    <row r="873">
      <c r="C873" s="215"/>
      <c r="D873" s="215"/>
      <c r="E873" s="215"/>
      <c r="G873" s="215"/>
    </row>
    <row r="874">
      <c r="C874" s="215"/>
      <c r="D874" s="215"/>
      <c r="E874" s="215"/>
      <c r="G874" s="215"/>
    </row>
    <row r="875">
      <c r="C875" s="215"/>
      <c r="D875" s="215"/>
      <c r="E875" s="215"/>
      <c r="G875" s="215"/>
    </row>
    <row r="876">
      <c r="C876" s="215"/>
      <c r="D876" s="215"/>
      <c r="E876" s="215"/>
      <c r="G876" s="215"/>
    </row>
    <row r="877">
      <c r="C877" s="215"/>
      <c r="D877" s="215"/>
      <c r="E877" s="215"/>
      <c r="G877" s="215"/>
    </row>
    <row r="878">
      <c r="C878" s="215"/>
      <c r="D878" s="215"/>
      <c r="E878" s="215"/>
      <c r="G878" s="215"/>
    </row>
    <row r="879">
      <c r="C879" s="215"/>
      <c r="D879" s="215"/>
      <c r="E879" s="215"/>
      <c r="G879" s="215"/>
    </row>
    <row r="880">
      <c r="C880" s="215"/>
      <c r="D880" s="215"/>
      <c r="E880" s="215"/>
      <c r="G880" s="215"/>
    </row>
    <row r="881">
      <c r="C881" s="215"/>
      <c r="D881" s="215"/>
      <c r="E881" s="215"/>
      <c r="G881" s="215"/>
    </row>
    <row r="882">
      <c r="C882" s="215"/>
      <c r="D882" s="215"/>
      <c r="E882" s="215"/>
      <c r="G882" s="215"/>
    </row>
    <row r="883">
      <c r="C883" s="215"/>
      <c r="D883" s="215"/>
      <c r="E883" s="215"/>
      <c r="G883" s="215"/>
    </row>
    <row r="884">
      <c r="C884" s="215"/>
      <c r="D884" s="215"/>
      <c r="E884" s="215"/>
      <c r="G884" s="215"/>
    </row>
    <row r="885">
      <c r="C885" s="215"/>
      <c r="D885" s="215"/>
      <c r="E885" s="215"/>
      <c r="G885" s="215"/>
    </row>
    <row r="886">
      <c r="C886" s="215"/>
      <c r="D886" s="215"/>
      <c r="E886" s="215"/>
      <c r="G886" s="215"/>
    </row>
    <row r="887">
      <c r="C887" s="215"/>
      <c r="D887" s="215"/>
      <c r="E887" s="215"/>
      <c r="G887" s="215"/>
    </row>
    <row r="888">
      <c r="C888" s="215"/>
      <c r="D888" s="215"/>
      <c r="E888" s="215"/>
      <c r="G888" s="215"/>
    </row>
    <row r="889">
      <c r="C889" s="215"/>
      <c r="D889" s="215"/>
      <c r="E889" s="215"/>
      <c r="G889" s="215"/>
    </row>
    <row r="890">
      <c r="C890" s="215"/>
      <c r="D890" s="215"/>
      <c r="E890" s="215"/>
      <c r="G890" s="215"/>
    </row>
    <row r="891">
      <c r="C891" s="215"/>
      <c r="D891" s="215"/>
      <c r="E891" s="215"/>
      <c r="G891" s="215"/>
    </row>
    <row r="892">
      <c r="C892" s="215"/>
      <c r="D892" s="215"/>
      <c r="E892" s="215"/>
      <c r="G892" s="215"/>
    </row>
    <row r="893">
      <c r="C893" s="215"/>
      <c r="D893" s="215"/>
      <c r="E893" s="215"/>
      <c r="G893" s="215"/>
    </row>
    <row r="894">
      <c r="C894" s="215"/>
      <c r="D894" s="215"/>
      <c r="E894" s="215"/>
      <c r="G894" s="215"/>
    </row>
    <row r="895">
      <c r="C895" s="215"/>
      <c r="D895" s="215"/>
      <c r="E895" s="215"/>
      <c r="G895" s="215"/>
    </row>
    <row r="896">
      <c r="C896" s="215"/>
      <c r="D896" s="215"/>
      <c r="E896" s="215"/>
      <c r="G896" s="215"/>
    </row>
    <row r="897">
      <c r="C897" s="215"/>
      <c r="D897" s="215"/>
      <c r="E897" s="215"/>
      <c r="G897" s="215"/>
    </row>
    <row r="898">
      <c r="C898" s="215"/>
      <c r="D898" s="215"/>
      <c r="E898" s="215"/>
      <c r="G898" s="215"/>
    </row>
    <row r="899">
      <c r="C899" s="215"/>
      <c r="D899" s="215"/>
      <c r="E899" s="215"/>
      <c r="G899" s="215"/>
    </row>
    <row r="900">
      <c r="C900" s="215"/>
      <c r="D900" s="215"/>
      <c r="E900" s="215"/>
      <c r="G900" s="215"/>
    </row>
    <row r="901">
      <c r="C901" s="215"/>
      <c r="D901" s="215"/>
      <c r="E901" s="215"/>
      <c r="G901" s="215"/>
    </row>
    <row r="902">
      <c r="C902" s="215"/>
      <c r="D902" s="215"/>
      <c r="E902" s="215"/>
      <c r="G902" s="215"/>
    </row>
    <row r="903">
      <c r="C903" s="215"/>
      <c r="D903" s="215"/>
      <c r="E903" s="215"/>
      <c r="G903" s="215"/>
    </row>
    <row r="904">
      <c r="C904" s="215"/>
      <c r="D904" s="215"/>
      <c r="E904" s="215"/>
      <c r="G904" s="215"/>
    </row>
    <row r="905">
      <c r="C905" s="215"/>
      <c r="D905" s="215"/>
      <c r="E905" s="215"/>
      <c r="G905" s="215"/>
    </row>
    <row r="906">
      <c r="C906" s="215"/>
      <c r="D906" s="215"/>
      <c r="E906" s="215"/>
      <c r="G906" s="215"/>
    </row>
    <row r="907">
      <c r="C907" s="215"/>
      <c r="D907" s="215"/>
      <c r="E907" s="215"/>
      <c r="G907" s="215"/>
    </row>
    <row r="908">
      <c r="C908" s="215"/>
      <c r="D908" s="215"/>
      <c r="E908" s="215"/>
      <c r="G908" s="215"/>
    </row>
    <row r="909">
      <c r="C909" s="215"/>
      <c r="D909" s="215"/>
      <c r="E909" s="215"/>
      <c r="G909" s="215"/>
    </row>
    <row r="910">
      <c r="C910" s="215"/>
      <c r="D910" s="215"/>
      <c r="E910" s="215"/>
      <c r="G910" s="215"/>
    </row>
    <row r="911">
      <c r="C911" s="215"/>
      <c r="D911" s="215"/>
      <c r="E911" s="215"/>
      <c r="G911" s="215"/>
    </row>
    <row r="912">
      <c r="C912" s="215"/>
      <c r="D912" s="215"/>
      <c r="E912" s="215"/>
      <c r="G912" s="215"/>
    </row>
    <row r="913">
      <c r="C913" s="215"/>
      <c r="D913" s="215"/>
      <c r="E913" s="215"/>
      <c r="G913" s="215"/>
    </row>
    <row r="914">
      <c r="C914" s="215"/>
      <c r="D914" s="215"/>
      <c r="E914" s="215"/>
      <c r="G914" s="215"/>
    </row>
    <row r="915">
      <c r="C915" s="215"/>
      <c r="D915" s="215"/>
      <c r="E915" s="215"/>
      <c r="G915" s="215"/>
    </row>
    <row r="916">
      <c r="C916" s="215"/>
      <c r="D916" s="215"/>
      <c r="E916" s="215"/>
      <c r="G916" s="215"/>
    </row>
    <row r="917">
      <c r="C917" s="215"/>
      <c r="D917" s="215"/>
      <c r="E917" s="215"/>
      <c r="G917" s="215"/>
    </row>
    <row r="918">
      <c r="C918" s="215"/>
      <c r="D918" s="215"/>
      <c r="E918" s="215"/>
      <c r="G918" s="215"/>
    </row>
    <row r="919">
      <c r="C919" s="215"/>
      <c r="D919" s="215"/>
      <c r="E919" s="215"/>
      <c r="G919" s="215"/>
    </row>
    <row r="920">
      <c r="C920" s="215"/>
      <c r="D920" s="215"/>
      <c r="E920" s="215"/>
      <c r="G920" s="215"/>
    </row>
    <row r="921">
      <c r="C921" s="215"/>
      <c r="D921" s="215"/>
      <c r="E921" s="215"/>
      <c r="G921" s="215"/>
    </row>
    <row r="922">
      <c r="C922" s="215"/>
      <c r="D922" s="215"/>
      <c r="E922" s="215"/>
      <c r="G922" s="215"/>
    </row>
    <row r="923">
      <c r="C923" s="215"/>
      <c r="D923" s="215"/>
      <c r="E923" s="215"/>
      <c r="G923" s="215"/>
    </row>
    <row r="924">
      <c r="C924" s="215"/>
      <c r="D924" s="215"/>
      <c r="E924" s="215"/>
      <c r="G924" s="215"/>
    </row>
    <row r="925">
      <c r="C925" s="215"/>
      <c r="D925" s="215"/>
      <c r="E925" s="215"/>
      <c r="G925" s="215"/>
    </row>
    <row r="926">
      <c r="C926" s="215"/>
      <c r="D926" s="215"/>
      <c r="E926" s="215"/>
      <c r="G926" s="215"/>
    </row>
    <row r="927">
      <c r="C927" s="215"/>
      <c r="D927" s="215"/>
      <c r="E927" s="215"/>
      <c r="G927" s="215"/>
    </row>
    <row r="928">
      <c r="C928" s="215"/>
      <c r="D928" s="215"/>
      <c r="E928" s="215"/>
      <c r="G928" s="215"/>
    </row>
    <row r="929">
      <c r="C929" s="215"/>
      <c r="D929" s="215"/>
      <c r="E929" s="215"/>
      <c r="G929" s="215"/>
    </row>
    <row r="930">
      <c r="C930" s="215"/>
      <c r="D930" s="215"/>
      <c r="E930" s="215"/>
      <c r="G930" s="215"/>
    </row>
    <row r="931">
      <c r="C931" s="215"/>
      <c r="D931" s="215"/>
      <c r="E931" s="215"/>
      <c r="G931" s="215"/>
    </row>
    <row r="932">
      <c r="C932" s="215"/>
      <c r="D932" s="215"/>
      <c r="E932" s="215"/>
      <c r="G932" s="215"/>
    </row>
    <row r="933">
      <c r="C933" s="215"/>
      <c r="D933" s="215"/>
      <c r="E933" s="215"/>
      <c r="G933" s="215"/>
    </row>
    <row r="934">
      <c r="C934" s="215"/>
      <c r="D934" s="215"/>
      <c r="E934" s="215"/>
      <c r="G934" s="215"/>
    </row>
    <row r="935">
      <c r="C935" s="215"/>
      <c r="D935" s="215"/>
      <c r="E935" s="215"/>
      <c r="G935" s="215"/>
    </row>
    <row r="936">
      <c r="C936" s="215"/>
      <c r="D936" s="215"/>
      <c r="E936" s="215"/>
      <c r="G936" s="215"/>
    </row>
    <row r="937">
      <c r="C937" s="215"/>
      <c r="D937" s="215"/>
      <c r="E937" s="215"/>
      <c r="G937" s="215"/>
    </row>
    <row r="938">
      <c r="C938" s="215"/>
      <c r="D938" s="215"/>
      <c r="E938" s="215"/>
      <c r="G938" s="215"/>
    </row>
    <row r="939">
      <c r="C939" s="215"/>
      <c r="D939" s="215"/>
      <c r="E939" s="215"/>
      <c r="G939" s="215"/>
    </row>
    <row r="940">
      <c r="C940" s="215"/>
      <c r="D940" s="215"/>
      <c r="E940" s="215"/>
      <c r="G940" s="215"/>
    </row>
    <row r="941">
      <c r="C941" s="215"/>
      <c r="D941" s="215"/>
      <c r="E941" s="215"/>
      <c r="G941" s="215"/>
    </row>
    <row r="942">
      <c r="C942" s="215"/>
      <c r="D942" s="215"/>
      <c r="E942" s="215"/>
      <c r="G942" s="215"/>
    </row>
    <row r="943">
      <c r="C943" s="215"/>
      <c r="D943" s="215"/>
      <c r="E943" s="215"/>
      <c r="G943" s="215"/>
    </row>
    <row r="944">
      <c r="C944" s="215"/>
      <c r="D944" s="215"/>
      <c r="E944" s="215"/>
      <c r="G944" s="215"/>
    </row>
    <row r="945">
      <c r="C945" s="215"/>
      <c r="D945" s="215"/>
      <c r="E945" s="215"/>
      <c r="G945" s="215"/>
    </row>
    <row r="946">
      <c r="C946" s="215"/>
      <c r="D946" s="215"/>
      <c r="E946" s="215"/>
      <c r="G946" s="215"/>
    </row>
    <row r="947">
      <c r="C947" s="215"/>
      <c r="D947" s="215"/>
      <c r="E947" s="215"/>
      <c r="G947" s="215"/>
    </row>
    <row r="948">
      <c r="C948" s="215"/>
      <c r="D948" s="215"/>
      <c r="E948" s="215"/>
      <c r="G948" s="215"/>
    </row>
    <row r="949">
      <c r="C949" s="215"/>
      <c r="D949" s="215"/>
      <c r="E949" s="215"/>
      <c r="G949" s="215"/>
    </row>
    <row r="950">
      <c r="C950" s="215"/>
      <c r="D950" s="215"/>
      <c r="E950" s="215"/>
      <c r="G950" s="215"/>
    </row>
    <row r="951">
      <c r="C951" s="215"/>
      <c r="D951" s="215"/>
      <c r="E951" s="215"/>
      <c r="G951" s="215"/>
    </row>
    <row r="952">
      <c r="C952" s="215"/>
      <c r="D952" s="215"/>
      <c r="E952" s="215"/>
      <c r="G952" s="215"/>
    </row>
    <row r="953">
      <c r="C953" s="215"/>
      <c r="D953" s="215"/>
      <c r="E953" s="215"/>
      <c r="G953" s="215"/>
    </row>
    <row r="954">
      <c r="C954" s="215"/>
      <c r="D954" s="215"/>
      <c r="E954" s="215"/>
      <c r="G954" s="215"/>
    </row>
    <row r="955">
      <c r="C955" s="215"/>
      <c r="D955" s="215"/>
      <c r="E955" s="215"/>
      <c r="G955" s="215"/>
    </row>
    <row r="956">
      <c r="C956" s="215"/>
      <c r="D956" s="215"/>
      <c r="E956" s="215"/>
      <c r="G956" s="215"/>
    </row>
    <row r="957">
      <c r="C957" s="215"/>
      <c r="D957" s="215"/>
      <c r="E957" s="215"/>
      <c r="G957" s="215"/>
    </row>
    <row r="958">
      <c r="C958" s="215"/>
      <c r="D958" s="215"/>
      <c r="E958" s="215"/>
      <c r="G958" s="215"/>
    </row>
    <row r="959">
      <c r="C959" s="215"/>
      <c r="D959" s="215"/>
      <c r="E959" s="215"/>
      <c r="G959" s="215"/>
    </row>
    <row r="960">
      <c r="C960" s="215"/>
      <c r="D960" s="215"/>
      <c r="E960" s="215"/>
      <c r="G960" s="215"/>
    </row>
    <row r="961">
      <c r="C961" s="215"/>
      <c r="D961" s="215"/>
      <c r="E961" s="215"/>
      <c r="G961" s="215"/>
    </row>
    <row r="962">
      <c r="C962" s="215"/>
      <c r="D962" s="215"/>
      <c r="E962" s="215"/>
      <c r="G962" s="215"/>
    </row>
    <row r="963">
      <c r="C963" s="215"/>
      <c r="D963" s="215"/>
      <c r="E963" s="215"/>
      <c r="G963" s="215"/>
    </row>
    <row r="964">
      <c r="C964" s="215"/>
      <c r="D964" s="215"/>
      <c r="E964" s="215"/>
      <c r="G964" s="215"/>
    </row>
    <row r="965">
      <c r="C965" s="215"/>
      <c r="D965" s="215"/>
      <c r="E965" s="215"/>
      <c r="G965" s="215"/>
    </row>
    <row r="966">
      <c r="C966" s="215"/>
      <c r="D966" s="215"/>
      <c r="E966" s="215"/>
      <c r="G966" s="215"/>
    </row>
    <row r="967">
      <c r="C967" s="215"/>
      <c r="D967" s="215"/>
      <c r="E967" s="215"/>
      <c r="G967" s="215"/>
    </row>
    <row r="968">
      <c r="C968" s="215"/>
      <c r="D968" s="215"/>
      <c r="E968" s="215"/>
      <c r="G968" s="215"/>
    </row>
    <row r="969">
      <c r="C969" s="215"/>
      <c r="D969" s="215"/>
      <c r="E969" s="215"/>
      <c r="G969" s="215"/>
    </row>
    <row r="970">
      <c r="C970" s="215"/>
      <c r="D970" s="215"/>
      <c r="E970" s="215"/>
      <c r="G970" s="215"/>
    </row>
    <row r="971">
      <c r="C971" s="215"/>
      <c r="D971" s="215"/>
      <c r="E971" s="215"/>
      <c r="G971" s="215"/>
    </row>
    <row r="972">
      <c r="C972" s="215"/>
      <c r="D972" s="215"/>
      <c r="E972" s="215"/>
      <c r="G972" s="215"/>
    </row>
    <row r="973">
      <c r="C973" s="215"/>
      <c r="D973" s="215"/>
      <c r="E973" s="215"/>
      <c r="G973" s="215"/>
    </row>
    <row r="974">
      <c r="C974" s="215"/>
      <c r="D974" s="215"/>
      <c r="E974" s="215"/>
      <c r="G974" s="215"/>
    </row>
    <row r="975">
      <c r="C975" s="215"/>
      <c r="D975" s="215"/>
      <c r="E975" s="215"/>
      <c r="G975" s="215"/>
    </row>
    <row r="976">
      <c r="C976" s="215"/>
      <c r="D976" s="215"/>
      <c r="E976" s="215"/>
      <c r="G976" s="215"/>
    </row>
    <row r="977">
      <c r="C977" s="215"/>
      <c r="D977" s="215"/>
      <c r="E977" s="215"/>
      <c r="G977" s="215"/>
    </row>
    <row r="978">
      <c r="C978" s="215"/>
      <c r="D978" s="215"/>
      <c r="E978" s="215"/>
      <c r="G978" s="215"/>
    </row>
    <row r="979">
      <c r="C979" s="215"/>
      <c r="D979" s="215"/>
      <c r="E979" s="215"/>
      <c r="G979" s="215"/>
    </row>
    <row r="980">
      <c r="C980" s="215"/>
      <c r="D980" s="215"/>
      <c r="E980" s="215"/>
      <c r="G980" s="215"/>
    </row>
    <row r="981">
      <c r="C981" s="215"/>
      <c r="D981" s="215"/>
      <c r="E981" s="215"/>
      <c r="G981" s="215"/>
    </row>
    <row r="982">
      <c r="C982" s="215"/>
      <c r="D982" s="215"/>
      <c r="E982" s="215"/>
      <c r="G982" s="215"/>
    </row>
    <row r="983">
      <c r="C983" s="215"/>
      <c r="D983" s="215"/>
      <c r="E983" s="215"/>
      <c r="G983" s="215"/>
    </row>
    <row r="984">
      <c r="C984" s="215"/>
      <c r="D984" s="215"/>
      <c r="E984" s="215"/>
      <c r="G984" s="215"/>
    </row>
    <row r="985">
      <c r="C985" s="215"/>
      <c r="D985" s="215"/>
      <c r="E985" s="215"/>
      <c r="G985" s="215"/>
    </row>
    <row r="986">
      <c r="C986" s="215"/>
      <c r="D986" s="215"/>
      <c r="E986" s="215"/>
      <c r="G986" s="215"/>
    </row>
    <row r="987">
      <c r="C987" s="215"/>
      <c r="D987" s="215"/>
      <c r="E987" s="215"/>
      <c r="G987" s="215"/>
    </row>
    <row r="988">
      <c r="C988" s="215"/>
      <c r="D988" s="215"/>
      <c r="E988" s="215"/>
      <c r="G988" s="215"/>
    </row>
    <row r="989">
      <c r="C989" s="215"/>
      <c r="D989" s="215"/>
      <c r="E989" s="215"/>
      <c r="G989" s="215"/>
    </row>
    <row r="990">
      <c r="C990" s="215"/>
      <c r="D990" s="215"/>
      <c r="E990" s="215"/>
      <c r="G990" s="215"/>
    </row>
    <row r="991">
      <c r="C991" s="215"/>
      <c r="D991" s="215"/>
      <c r="E991" s="215"/>
      <c r="G991" s="215"/>
    </row>
    <row r="992">
      <c r="C992" s="215"/>
      <c r="D992" s="215"/>
      <c r="E992" s="215"/>
      <c r="G992" s="215"/>
    </row>
    <row r="993">
      <c r="C993" s="215"/>
      <c r="D993" s="215"/>
      <c r="E993" s="215"/>
      <c r="G993" s="215"/>
    </row>
    <row r="994">
      <c r="C994" s="215"/>
      <c r="D994" s="215"/>
      <c r="E994" s="215"/>
      <c r="G994" s="215"/>
    </row>
    <row r="995">
      <c r="C995" s="215"/>
      <c r="D995" s="215"/>
      <c r="E995" s="215"/>
      <c r="G995" s="215"/>
    </row>
    <row r="996">
      <c r="C996" s="215"/>
      <c r="D996" s="215"/>
      <c r="E996" s="215"/>
      <c r="G996" s="215"/>
    </row>
    <row r="997">
      <c r="C997" s="215"/>
      <c r="D997" s="215"/>
      <c r="E997" s="215"/>
      <c r="G997" s="215"/>
    </row>
    <row r="998">
      <c r="C998" s="215"/>
      <c r="D998" s="215"/>
      <c r="E998" s="215"/>
      <c r="G998" s="215"/>
    </row>
    <row r="999">
      <c r="C999" s="215"/>
      <c r="D999" s="215"/>
      <c r="E999" s="215"/>
      <c r="G999" s="215"/>
    </row>
    <row r="1000">
      <c r="C1000" s="215"/>
      <c r="D1000" s="215"/>
      <c r="E1000" s="215"/>
      <c r="G1000" s="215"/>
    </row>
    <row r="1001">
      <c r="C1001" s="215"/>
      <c r="D1001" s="215"/>
      <c r="E1001" s="215"/>
      <c r="G1001" s="215"/>
    </row>
  </sheetData>
  <mergeCells count="1">
    <mergeCell ref="A1:G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2023-12-18T18:16:55Z</dcterms:created>
  <dc:creator>Nelson Carbajal</dc:creator>
</cp:coreProperties>
</file>